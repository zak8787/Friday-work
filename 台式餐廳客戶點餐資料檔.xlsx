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點餐明細資料" sheetId="1" state="visible" r:id="rId1"/>
    <sheet xmlns:r="http://schemas.openxmlformats.org/officeDocument/2006/relationships" name="菜品主檔目錄" sheetId="2" state="visible" r:id="rId2"/>
  </sheets>
  <definedNames>
    <definedName name="_xlnm._FilterDatabase" localSheetId="0" hidden="1">'點餐明細資料'!$A$4:$K$324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"/>
  </numFmts>
  <fonts count="6">
    <font>
      <name val="Calibri"/>
      <family val="2"/>
      <color theme="1"/>
      <sz val="11"/>
      <scheme val="minor"/>
    </font>
    <font>
      <name val="微軟正黑體"/>
      <b val="1"/>
      <color rgb="001F497D"/>
      <sz val="16"/>
    </font>
    <font>
      <name val="微軟正黑體"/>
      <i val="1"/>
      <color rgb="00595959"/>
      <sz val="10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pivotButton="0" quotePrefix="0" xfId="0"/>
    <xf numFmtId="3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4" customWidth="1" min="1" max="1"/>
    <col width="15" customWidth="1" min="2" max="2"/>
    <col width="13" customWidth="1" min="3" max="3"/>
    <col width="12" customWidth="1" min="4" max="4"/>
    <col width="17" customWidth="1" min="5" max="5"/>
    <col width="11" customWidth="1" min="6" max="6"/>
    <col width="11" customWidth="1" min="7" max="7"/>
    <col width="23" customWidth="1" min="8" max="8"/>
    <col width="16" customWidth="1" min="9" max="9"/>
    <col width="20" customWidth="1" min="10" max="10"/>
    <col width="16" customWidth="1" min="11" max="11"/>
  </cols>
  <sheetData>
    <row r="1">
      <c r="A1" s="1" t="inlineStr">
        <is>
          <t>台味豐閣餐飲 — 客戶點餐明細資料庫</t>
        </is>
      </c>
    </row>
    <row r="2">
      <c r="A2" s="2" t="inlineStr">
        <is>
          <t>資料期間：2026年9月1日 ~ 2026年10月10日 ｜ 記錄總數：320 筆 ｜ 幣別：新台幣 (TWD)</t>
        </is>
      </c>
    </row>
    <row r="3"/>
    <row r="4">
      <c r="A4" s="3" t="inlineStr">
        <is>
          <t>項次</t>
        </is>
      </c>
      <c r="B4" s="3" t="inlineStr">
        <is>
          <t>訂單編號</t>
        </is>
      </c>
      <c r="C4" s="3" t="inlineStr">
        <is>
          <t>訂餐日期</t>
        </is>
      </c>
      <c r="D4" s="3" t="inlineStr">
        <is>
          <t>客戶編號</t>
        </is>
      </c>
      <c r="E4" s="3" t="inlineStr">
        <is>
          <t>客戶名稱</t>
        </is>
      </c>
      <c r="F4" s="3" t="inlineStr">
        <is>
          <t>菜品分類</t>
        </is>
      </c>
      <c r="G4" s="3" t="inlineStr">
        <is>
          <t>菜品代號</t>
        </is>
      </c>
      <c r="H4" s="3" t="inlineStr">
        <is>
          <t>菜品名稱</t>
        </is>
      </c>
      <c r="I4" s="3" t="inlineStr">
        <is>
          <t>所點份數</t>
        </is>
      </c>
      <c r="J4" s="3" t="inlineStr">
        <is>
          <t>菜品單價</t>
        </is>
      </c>
      <c r="K4" s="3" t="inlineStr">
        <is>
          <t>小計金額</t>
        </is>
      </c>
    </row>
    <row r="5">
      <c r="A5" s="4" t="n">
        <v>1</v>
      </c>
      <c r="B5" s="4" t="inlineStr">
        <is>
          <t>ORD-20260008</t>
        </is>
      </c>
      <c r="C5" s="4" t="inlineStr">
        <is>
          <t>2026-09-01</t>
        </is>
      </c>
      <c r="D5" s="4" t="inlineStr">
        <is>
          <t>CUST-1049</t>
        </is>
      </c>
      <c r="E5" s="5" t="inlineStr">
        <is>
          <t>蕭雅涵</t>
        </is>
      </c>
      <c r="F5" s="4" t="inlineStr">
        <is>
          <t>肉品</t>
        </is>
      </c>
      <c r="G5" s="4" t="inlineStr">
        <is>
          <t>MEA-04</t>
        </is>
      </c>
      <c r="H5" s="5" t="inlineStr">
        <is>
          <t>醬燒蔥爆牛肉</t>
        </is>
      </c>
      <c r="I5" s="6" t="n">
        <v>4</v>
      </c>
      <c r="J5" s="7" t="n">
        <v>230</v>
      </c>
      <c r="K5" s="7">
        <f>I5*J5</f>
        <v/>
      </c>
    </row>
    <row r="6">
      <c r="A6" s="8" t="n">
        <v>2</v>
      </c>
      <c r="B6" s="8" t="inlineStr">
        <is>
          <t>ORD-20260074</t>
        </is>
      </c>
      <c r="C6" s="8" t="inlineStr">
        <is>
          <t>2026-09-01</t>
        </is>
      </c>
      <c r="D6" s="8" t="inlineStr">
        <is>
          <t>CUST-1025</t>
        </is>
      </c>
      <c r="E6" s="9" t="inlineStr">
        <is>
          <t>葉宜君</t>
        </is>
      </c>
      <c r="F6" s="8" t="inlineStr">
        <is>
          <t>海鮮</t>
        </is>
      </c>
      <c r="G6" s="8" t="inlineStr">
        <is>
          <t>SEA-02</t>
        </is>
      </c>
      <c r="H6" s="9" t="inlineStr">
        <is>
          <t>豆酥鱈魚</t>
        </is>
      </c>
      <c r="I6" s="10" t="n">
        <v>5</v>
      </c>
      <c r="J6" s="11" t="n">
        <v>240</v>
      </c>
      <c r="K6" s="11">
        <f>I6*J6</f>
        <v/>
      </c>
    </row>
    <row r="7">
      <c r="A7" s="4" t="n">
        <v>3</v>
      </c>
      <c r="B7" s="4" t="inlineStr">
        <is>
          <t>ORD-20260088</t>
        </is>
      </c>
      <c r="C7" s="4" t="inlineStr">
        <is>
          <t>2026-09-01</t>
        </is>
      </c>
      <c r="D7" s="4" t="inlineStr">
        <is>
          <t>CUST-1030</t>
        </is>
      </c>
      <c r="E7" s="5" t="inlineStr">
        <is>
          <t>呂建德</t>
        </is>
      </c>
      <c r="F7" s="4" t="inlineStr">
        <is>
          <t>主食</t>
        </is>
      </c>
      <c r="G7" s="4" t="inlineStr">
        <is>
          <t>STA-05</t>
        </is>
      </c>
      <c r="H7" s="5" t="inlineStr">
        <is>
          <t>招牌古早味滷肉飯(大)</t>
        </is>
      </c>
      <c r="I7" s="6" t="n">
        <v>1</v>
      </c>
      <c r="J7" s="7" t="n">
        <v>80</v>
      </c>
      <c r="K7" s="7">
        <f>I7*J7</f>
        <v/>
      </c>
    </row>
    <row r="8">
      <c r="A8" s="8" t="n">
        <v>4</v>
      </c>
      <c r="B8" s="8" t="inlineStr">
        <is>
          <t>ORD-20260004</t>
        </is>
      </c>
      <c r="C8" s="8" t="inlineStr">
        <is>
          <t>2026-09-02</t>
        </is>
      </c>
      <c r="D8" s="8" t="inlineStr">
        <is>
          <t>CUST-1006</t>
        </is>
      </c>
      <c r="E8" s="9" t="inlineStr">
        <is>
          <t>王俊傑</t>
        </is>
      </c>
      <c r="F8" s="8" t="inlineStr">
        <is>
          <t>肉品</t>
        </is>
      </c>
      <c r="G8" s="8" t="inlineStr">
        <is>
          <t>MEA-07</t>
        </is>
      </c>
      <c r="H8" s="9" t="inlineStr">
        <is>
          <t>薑絲炒大腸</t>
        </is>
      </c>
      <c r="I8" s="10" t="n">
        <v>1</v>
      </c>
      <c r="J8" s="11" t="n">
        <v>210</v>
      </c>
      <c r="K8" s="11">
        <f>I8*J8</f>
        <v/>
      </c>
    </row>
    <row r="9">
      <c r="A9" s="4" t="n">
        <v>5</v>
      </c>
      <c r="B9" s="4" t="inlineStr">
        <is>
          <t>ORD-20260055</t>
        </is>
      </c>
      <c r="C9" s="4" t="inlineStr">
        <is>
          <t>2026-09-02</t>
        </is>
      </c>
      <c r="D9" s="4" t="inlineStr">
        <is>
          <t>CUST-1038</t>
        </is>
      </c>
      <c r="E9" s="5" t="inlineStr">
        <is>
          <t>鼎盛工程顧問</t>
        </is>
      </c>
      <c r="F9" s="4" t="inlineStr">
        <is>
          <t>主食</t>
        </is>
      </c>
      <c r="G9" s="4" t="inlineStr">
        <is>
          <t>STA-01</t>
        </is>
      </c>
      <c r="H9" s="5" t="inlineStr">
        <is>
          <t>台式古早味炒米粉</t>
        </is>
      </c>
      <c r="I9" s="6" t="n">
        <v>1</v>
      </c>
      <c r="J9" s="7" t="n">
        <v>120</v>
      </c>
      <c r="K9" s="7">
        <f>I9*J9</f>
        <v/>
      </c>
    </row>
    <row r="10">
      <c r="A10" s="8" t="n">
        <v>6</v>
      </c>
      <c r="B10" s="8" t="inlineStr">
        <is>
          <t>ORD-20260120</t>
        </is>
      </c>
      <c r="C10" s="8" t="inlineStr">
        <is>
          <t>2026-09-02</t>
        </is>
      </c>
      <c r="D10" s="8" t="inlineStr">
        <is>
          <t>CUST-1008</t>
        </is>
      </c>
      <c r="E10" s="9" t="inlineStr">
        <is>
          <t>劉冠宇</t>
        </is>
      </c>
      <c r="F10" s="8" t="inlineStr">
        <is>
          <t>海鮮</t>
        </is>
      </c>
      <c r="G10" s="8" t="inlineStr">
        <is>
          <t>SEA-02</t>
        </is>
      </c>
      <c r="H10" s="9" t="inlineStr">
        <is>
          <t>豆酥鱈魚</t>
        </is>
      </c>
      <c r="I10" s="10" t="n">
        <v>1</v>
      </c>
      <c r="J10" s="11" t="n">
        <v>240</v>
      </c>
      <c r="K10" s="11">
        <f>I10*J10</f>
        <v/>
      </c>
    </row>
    <row r="11">
      <c r="A11" s="4" t="n">
        <v>7</v>
      </c>
      <c r="B11" s="4" t="inlineStr">
        <is>
          <t>ORD-20260167</t>
        </is>
      </c>
      <c r="C11" s="4" t="inlineStr">
        <is>
          <t>2026-09-02</t>
        </is>
      </c>
      <c r="D11" s="4" t="inlineStr">
        <is>
          <t>CUST-1026</t>
        </is>
      </c>
      <c r="E11" s="5" t="inlineStr">
        <is>
          <t>何孟勳</t>
        </is>
      </c>
      <c r="F11" s="4" t="inlineStr">
        <is>
          <t>主食</t>
        </is>
      </c>
      <c r="G11" s="4" t="inlineStr">
        <is>
          <t>STA-03</t>
        </is>
      </c>
      <c r="H11" s="5" t="inlineStr">
        <is>
          <t>櫻花蝦炒飯</t>
        </is>
      </c>
      <c r="I11" s="6" t="n">
        <v>1</v>
      </c>
      <c r="J11" s="7" t="n">
        <v>150</v>
      </c>
      <c r="K11" s="7">
        <f>I11*J11</f>
        <v/>
      </c>
    </row>
    <row r="12">
      <c r="A12" s="8" t="n">
        <v>8</v>
      </c>
      <c r="B12" s="8" t="inlineStr">
        <is>
          <t>ORD-20260173</t>
        </is>
      </c>
      <c r="C12" s="8" t="inlineStr">
        <is>
          <t>2026-09-02</t>
        </is>
      </c>
      <c r="D12" s="8" t="inlineStr">
        <is>
          <t>CUST-1048</t>
        </is>
      </c>
      <c r="E12" s="9" t="inlineStr">
        <is>
          <t>顏立威</t>
        </is>
      </c>
      <c r="F12" s="8" t="inlineStr">
        <is>
          <t>湯品</t>
        </is>
      </c>
      <c r="G12" s="8" t="inlineStr">
        <is>
          <t>SOU-06</t>
        </is>
      </c>
      <c r="H12" s="9" t="inlineStr">
        <is>
          <t>貢丸蘿蔔排骨湯</t>
        </is>
      </c>
      <c r="I12" s="10" t="n">
        <v>1</v>
      </c>
      <c r="J12" s="11" t="n">
        <v>120</v>
      </c>
      <c r="K12" s="11">
        <f>I12*J12</f>
        <v/>
      </c>
    </row>
    <row r="13">
      <c r="A13" s="4" t="n">
        <v>9</v>
      </c>
      <c r="B13" s="4" t="inlineStr">
        <is>
          <t>ORD-20260241</t>
        </is>
      </c>
      <c r="C13" s="4" t="inlineStr">
        <is>
          <t>2026-09-02</t>
        </is>
      </c>
      <c r="D13" s="4" t="inlineStr">
        <is>
          <t>CUST-1006</t>
        </is>
      </c>
      <c r="E13" s="5" t="inlineStr">
        <is>
          <t>王俊傑</t>
        </is>
      </c>
      <c r="F13" s="4" t="inlineStr">
        <is>
          <t>肉品</t>
        </is>
      </c>
      <c r="G13" s="4" t="inlineStr">
        <is>
          <t>MEA-08</t>
        </is>
      </c>
      <c r="H13" s="5" t="inlineStr">
        <is>
          <t>麻油松阪豬</t>
        </is>
      </c>
      <c r="I13" s="6" t="n">
        <v>1</v>
      </c>
      <c r="J13" s="7" t="n">
        <v>250</v>
      </c>
      <c r="K13" s="7">
        <f>I13*J13</f>
        <v/>
      </c>
    </row>
    <row r="14">
      <c r="A14" s="8" t="n">
        <v>10</v>
      </c>
      <c r="B14" s="8" t="inlineStr">
        <is>
          <t>ORD-20260257</t>
        </is>
      </c>
      <c r="C14" s="8" t="inlineStr">
        <is>
          <t>2026-09-02</t>
        </is>
      </c>
      <c r="D14" s="8" t="inlineStr">
        <is>
          <t>CUST-1041</t>
        </is>
      </c>
      <c r="E14" s="9" t="inlineStr">
        <is>
          <t>彭思涵</t>
        </is>
      </c>
      <c r="F14" s="8" t="inlineStr">
        <is>
          <t>主食</t>
        </is>
      </c>
      <c r="G14" s="8" t="inlineStr">
        <is>
          <t>STA-04</t>
        </is>
      </c>
      <c r="H14" s="9" t="inlineStr">
        <is>
          <t>烏魚子炒飯</t>
        </is>
      </c>
      <c r="I14" s="10" t="n">
        <v>1</v>
      </c>
      <c r="J14" s="11" t="n">
        <v>220</v>
      </c>
      <c r="K14" s="11">
        <f>I14*J14</f>
        <v/>
      </c>
    </row>
    <row r="15">
      <c r="A15" s="4" t="n">
        <v>11</v>
      </c>
      <c r="B15" s="4" t="inlineStr">
        <is>
          <t>ORD-20260287</t>
        </is>
      </c>
      <c r="C15" s="4" t="inlineStr">
        <is>
          <t>2026-09-02</t>
        </is>
      </c>
      <c r="D15" s="4" t="inlineStr">
        <is>
          <t>CUST-1003</t>
        </is>
      </c>
      <c r="E15" s="5" t="inlineStr">
        <is>
          <t>張淑芬</t>
        </is>
      </c>
      <c r="F15" s="4" t="inlineStr">
        <is>
          <t>海鮮</t>
        </is>
      </c>
      <c r="G15" s="4" t="inlineStr">
        <is>
          <t>SEA-06</t>
        </is>
      </c>
      <c r="H15" s="5" t="inlineStr">
        <is>
          <t>清蒸金目鱸魚片</t>
        </is>
      </c>
      <c r="I15" s="6" t="n">
        <v>1</v>
      </c>
      <c r="J15" s="7" t="n">
        <v>240</v>
      </c>
      <c r="K15" s="7">
        <f>I15*J15</f>
        <v/>
      </c>
    </row>
    <row r="16">
      <c r="A16" s="8" t="n">
        <v>12</v>
      </c>
      <c r="B16" s="8" t="inlineStr">
        <is>
          <t>ORD-20260319</t>
        </is>
      </c>
      <c r="C16" s="8" t="inlineStr">
        <is>
          <t>2026-09-02</t>
        </is>
      </c>
      <c r="D16" s="8" t="inlineStr">
        <is>
          <t>CUST-1040</t>
        </is>
      </c>
      <c r="E16" s="9" t="inlineStr">
        <is>
          <t>微星多媒體室</t>
        </is>
      </c>
      <c r="F16" s="8" t="inlineStr">
        <is>
          <t>主食</t>
        </is>
      </c>
      <c r="G16" s="8" t="inlineStr">
        <is>
          <t>STA-01</t>
        </is>
      </c>
      <c r="H16" s="9" t="inlineStr">
        <is>
          <t>台式古早味炒米粉</t>
        </is>
      </c>
      <c r="I16" s="10" t="n">
        <v>2</v>
      </c>
      <c r="J16" s="11" t="n">
        <v>120</v>
      </c>
      <c r="K16" s="11">
        <f>I16*J16</f>
        <v/>
      </c>
    </row>
    <row r="17">
      <c r="A17" s="4" t="n">
        <v>13</v>
      </c>
      <c r="B17" s="4" t="inlineStr">
        <is>
          <t>ORD-20260012</t>
        </is>
      </c>
      <c r="C17" s="4" t="inlineStr">
        <is>
          <t>2026-09-03</t>
        </is>
      </c>
      <c r="D17" s="4" t="inlineStr">
        <is>
          <t>CUST-1047</t>
        </is>
      </c>
      <c r="E17" s="5" t="inlineStr">
        <is>
          <t>江佩芳</t>
        </is>
      </c>
      <c r="F17" s="4" t="inlineStr">
        <is>
          <t>湯品</t>
        </is>
      </c>
      <c r="G17" s="4" t="inlineStr">
        <is>
          <t>SOU-01</t>
        </is>
      </c>
      <c r="H17" s="5" t="inlineStr">
        <is>
          <t>剝皮辣椒雞湯</t>
        </is>
      </c>
      <c r="I17" s="6" t="n">
        <v>10</v>
      </c>
      <c r="J17" s="7" t="n">
        <v>220</v>
      </c>
      <c r="K17" s="7">
        <f>I17*J17</f>
        <v/>
      </c>
    </row>
    <row r="18">
      <c r="A18" s="8" t="n">
        <v>14</v>
      </c>
      <c r="B18" s="8" t="inlineStr">
        <is>
          <t>ORD-20260016</t>
        </is>
      </c>
      <c r="C18" s="8" t="inlineStr">
        <is>
          <t>2026-09-03</t>
        </is>
      </c>
      <c r="D18" s="8" t="inlineStr">
        <is>
          <t>CUST-1043</t>
        </is>
      </c>
      <c r="E18" s="9" t="inlineStr">
        <is>
          <t>潘郁婷</t>
        </is>
      </c>
      <c r="F18" s="8" t="inlineStr">
        <is>
          <t>肉品</t>
        </is>
      </c>
      <c r="G18" s="8" t="inlineStr">
        <is>
          <t>MEA-08</t>
        </is>
      </c>
      <c r="H18" s="9" t="inlineStr">
        <is>
          <t>麻油松阪豬</t>
        </is>
      </c>
      <c r="I18" s="10" t="n">
        <v>2</v>
      </c>
      <c r="J18" s="11" t="n">
        <v>250</v>
      </c>
      <c r="K18" s="11">
        <f>I18*J18</f>
        <v/>
      </c>
    </row>
    <row r="19">
      <c r="A19" s="4" t="n">
        <v>15</v>
      </c>
      <c r="B19" s="4" t="inlineStr">
        <is>
          <t>ORD-20260101</t>
        </is>
      </c>
      <c r="C19" s="4" t="inlineStr">
        <is>
          <t>2026-09-03</t>
        </is>
      </c>
      <c r="D19" s="4" t="inlineStr">
        <is>
          <t>CUST-1001</t>
        </is>
      </c>
      <c r="E19" s="5" t="inlineStr">
        <is>
          <t>陳建宏</t>
        </is>
      </c>
      <c r="F19" s="4" t="inlineStr">
        <is>
          <t>海鮮</t>
        </is>
      </c>
      <c r="G19" s="4" t="inlineStr">
        <is>
          <t>SEA-07</t>
        </is>
      </c>
      <c r="H19" s="5" t="inlineStr">
        <is>
          <t>生炒花枝</t>
        </is>
      </c>
      <c r="I19" s="6" t="n">
        <v>1</v>
      </c>
      <c r="J19" s="7" t="n">
        <v>200</v>
      </c>
      <c r="K19" s="7">
        <f>I19*J19</f>
        <v/>
      </c>
    </row>
    <row r="20">
      <c r="A20" s="8" t="n">
        <v>16</v>
      </c>
      <c r="B20" s="8" t="inlineStr">
        <is>
          <t>ORD-20260105</t>
        </is>
      </c>
      <c r="C20" s="8" t="inlineStr">
        <is>
          <t>2026-09-03</t>
        </is>
      </c>
      <c r="D20" s="8" t="inlineStr">
        <is>
          <t>CUST-1024</t>
        </is>
      </c>
      <c r="E20" s="9" t="inlineStr">
        <is>
          <t>高銘賢</t>
        </is>
      </c>
      <c r="F20" s="8" t="inlineStr">
        <is>
          <t>主食</t>
        </is>
      </c>
      <c r="G20" s="8" t="inlineStr">
        <is>
          <t>STA-03</t>
        </is>
      </c>
      <c r="H20" s="9" t="inlineStr">
        <is>
          <t>櫻花蝦炒飯</t>
        </is>
      </c>
      <c r="I20" s="10" t="n">
        <v>10</v>
      </c>
      <c r="J20" s="11" t="n">
        <v>150</v>
      </c>
      <c r="K20" s="11">
        <f>I20*J20</f>
        <v/>
      </c>
    </row>
    <row r="21">
      <c r="A21" s="4" t="n">
        <v>17</v>
      </c>
      <c r="B21" s="4" t="inlineStr">
        <is>
          <t>ORD-20260125</t>
        </is>
      </c>
      <c r="C21" s="4" t="inlineStr">
        <is>
          <t>2026-09-03</t>
        </is>
      </c>
      <c r="D21" s="4" t="inlineStr">
        <is>
          <t>CUST-1046</t>
        </is>
      </c>
      <c r="E21" s="5" t="inlineStr">
        <is>
          <t>戴育德</t>
        </is>
      </c>
      <c r="F21" s="4" t="inlineStr">
        <is>
          <t>蔬菜</t>
        </is>
      </c>
      <c r="G21" s="4" t="inlineStr">
        <is>
          <t>VEG-06</t>
        </is>
      </c>
      <c r="H21" s="5" t="inlineStr">
        <is>
          <t>吻仔魚莧菜</t>
        </is>
      </c>
      <c r="I21" s="6" t="n">
        <v>1</v>
      </c>
      <c r="J21" s="7" t="n">
        <v>140</v>
      </c>
      <c r="K21" s="7">
        <f>I21*J21</f>
        <v/>
      </c>
    </row>
    <row r="22">
      <c r="A22" s="8" t="n">
        <v>18</v>
      </c>
      <c r="B22" s="8" t="inlineStr">
        <is>
          <t>ORD-20260140</t>
        </is>
      </c>
      <c r="C22" s="8" t="inlineStr">
        <is>
          <t>2026-09-03</t>
        </is>
      </c>
      <c r="D22" s="8" t="inlineStr">
        <is>
          <t>CUST-1016</t>
        </is>
      </c>
      <c r="E22" s="9" t="inlineStr">
        <is>
          <t>曾美慧</t>
        </is>
      </c>
      <c r="F22" s="8" t="inlineStr">
        <is>
          <t>湯品</t>
        </is>
      </c>
      <c r="G22" s="8" t="inlineStr">
        <is>
          <t>SOU-02</t>
        </is>
      </c>
      <c r="H22" s="9" t="inlineStr">
        <is>
          <t>鳳梨苦瓜雞湯</t>
        </is>
      </c>
      <c r="I22" s="10" t="n">
        <v>1</v>
      </c>
      <c r="J22" s="11" t="n">
        <v>210</v>
      </c>
      <c r="K22" s="11">
        <f>I22*J22</f>
        <v/>
      </c>
    </row>
    <row r="23">
      <c r="A23" s="4" t="n">
        <v>19</v>
      </c>
      <c r="B23" s="4" t="inlineStr">
        <is>
          <t>ORD-20260175</t>
        </is>
      </c>
      <c r="C23" s="4" t="inlineStr">
        <is>
          <t>2026-09-03</t>
        </is>
      </c>
      <c r="D23" s="4" t="inlineStr">
        <is>
          <t>CUST-1049</t>
        </is>
      </c>
      <c r="E23" s="5" t="inlineStr">
        <is>
          <t>蕭雅涵</t>
        </is>
      </c>
      <c r="F23" s="4" t="inlineStr">
        <is>
          <t>冷盤</t>
        </is>
      </c>
      <c r="G23" s="4" t="inlineStr">
        <is>
          <t>APP-02</t>
        </is>
      </c>
      <c r="H23" s="5" t="inlineStr">
        <is>
          <t>五味透抽</t>
        </is>
      </c>
      <c r="I23" s="6" t="n">
        <v>1</v>
      </c>
      <c r="J23" s="7" t="n">
        <v>220</v>
      </c>
      <c r="K23" s="7">
        <f>I23*J23</f>
        <v/>
      </c>
    </row>
    <row r="24">
      <c r="A24" s="8" t="n">
        <v>20</v>
      </c>
      <c r="B24" s="8" t="inlineStr">
        <is>
          <t>ORD-20260249</t>
        </is>
      </c>
      <c r="C24" s="8" t="inlineStr">
        <is>
          <t>2026-09-03</t>
        </is>
      </c>
      <c r="D24" s="8" t="inlineStr">
        <is>
          <t>CUST-1030</t>
        </is>
      </c>
      <c r="E24" s="9" t="inlineStr">
        <is>
          <t>呂建德</t>
        </is>
      </c>
      <c r="F24" s="8" t="inlineStr">
        <is>
          <t>冷盤</t>
        </is>
      </c>
      <c r="G24" s="8" t="inlineStr">
        <is>
          <t>APP-06</t>
        </is>
      </c>
      <c r="H24" s="9" t="inlineStr">
        <is>
          <t>涼拌海蜇皮</t>
        </is>
      </c>
      <c r="I24" s="10" t="n">
        <v>2</v>
      </c>
      <c r="J24" s="11" t="n">
        <v>180</v>
      </c>
      <c r="K24" s="11">
        <f>I24*J24</f>
        <v/>
      </c>
    </row>
    <row r="25">
      <c r="A25" s="4" t="n">
        <v>21</v>
      </c>
      <c r="B25" s="4" t="inlineStr">
        <is>
          <t>ORD-20260033</t>
        </is>
      </c>
      <c r="C25" s="4" t="inlineStr">
        <is>
          <t>2026-09-04</t>
        </is>
      </c>
      <c r="D25" s="4" t="inlineStr">
        <is>
          <t>CUST-1008</t>
        </is>
      </c>
      <c r="E25" s="5" t="inlineStr">
        <is>
          <t>劉冠宇</t>
        </is>
      </c>
      <c r="F25" s="4" t="inlineStr">
        <is>
          <t>肉品</t>
        </is>
      </c>
      <c r="G25" s="4" t="inlineStr">
        <is>
          <t>MEA-03</t>
        </is>
      </c>
      <c r="H25" s="5" t="inlineStr">
        <is>
          <t>客家小炒</t>
        </is>
      </c>
      <c r="I25" s="6" t="n">
        <v>1</v>
      </c>
      <c r="J25" s="7" t="n">
        <v>190</v>
      </c>
      <c r="K25" s="7">
        <f>I25*J25</f>
        <v/>
      </c>
    </row>
    <row r="26">
      <c r="A26" s="8" t="n">
        <v>22</v>
      </c>
      <c r="B26" s="8" t="inlineStr">
        <is>
          <t>ORD-20260046</t>
        </is>
      </c>
      <c r="C26" s="8" t="inlineStr">
        <is>
          <t>2026-09-04</t>
        </is>
      </c>
      <c r="D26" s="8" t="inlineStr">
        <is>
          <t>CUST-1016</t>
        </is>
      </c>
      <c r="E26" s="9" t="inlineStr">
        <is>
          <t>曾美慧</t>
        </is>
      </c>
      <c r="F26" s="8" t="inlineStr">
        <is>
          <t>主食</t>
        </is>
      </c>
      <c r="G26" s="8" t="inlineStr">
        <is>
          <t>STA-02</t>
        </is>
      </c>
      <c r="H26" s="9" t="inlineStr">
        <is>
          <t>台式肉絲炒麵</t>
        </is>
      </c>
      <c r="I26" s="10" t="n">
        <v>1</v>
      </c>
      <c r="J26" s="11" t="n">
        <v>110</v>
      </c>
      <c r="K26" s="11">
        <f>I26*J26</f>
        <v/>
      </c>
    </row>
    <row r="27">
      <c r="A27" s="4" t="n">
        <v>23</v>
      </c>
      <c r="B27" s="4" t="inlineStr">
        <is>
          <t>ORD-20260057</t>
        </is>
      </c>
      <c r="C27" s="4" t="inlineStr">
        <is>
          <t>2026-09-04</t>
        </is>
      </c>
      <c r="D27" s="4" t="inlineStr">
        <is>
          <t>CUST-1015</t>
        </is>
      </c>
      <c r="E27" s="5" t="inlineStr">
        <is>
          <t>郭宏達</t>
        </is>
      </c>
      <c r="F27" s="4" t="inlineStr">
        <is>
          <t>冷盤</t>
        </is>
      </c>
      <c r="G27" s="4" t="inlineStr">
        <is>
          <t>APP-05</t>
        </is>
      </c>
      <c r="H27" s="5" t="inlineStr">
        <is>
          <t>黃金皮蛋豆腐</t>
        </is>
      </c>
      <c r="I27" s="6" t="n">
        <v>1</v>
      </c>
      <c r="J27" s="7" t="n">
        <v>90</v>
      </c>
      <c r="K27" s="7">
        <f>I27*J27</f>
        <v/>
      </c>
    </row>
    <row r="28">
      <c r="A28" s="8" t="n">
        <v>24</v>
      </c>
      <c r="B28" s="8" t="inlineStr">
        <is>
          <t>ORD-20260064</t>
        </is>
      </c>
      <c r="C28" s="8" t="inlineStr">
        <is>
          <t>2026-09-04</t>
        </is>
      </c>
      <c r="D28" s="8" t="inlineStr">
        <is>
          <t>CUST-1044</t>
        </is>
      </c>
      <c r="E28" s="9" t="inlineStr">
        <is>
          <t>柯宗憲</t>
        </is>
      </c>
      <c r="F28" s="8" t="inlineStr">
        <is>
          <t>飲品</t>
        </is>
      </c>
      <c r="G28" s="8" t="inlineStr">
        <is>
          <t>DRK-01</t>
        </is>
      </c>
      <c r="H28" s="9" t="inlineStr">
        <is>
          <t>古早味冬瓜檸檬</t>
        </is>
      </c>
      <c r="I28" s="10" t="n">
        <v>1</v>
      </c>
      <c r="J28" s="11" t="n">
        <v>80</v>
      </c>
      <c r="K28" s="11">
        <f>I28*J28</f>
        <v/>
      </c>
    </row>
    <row r="29">
      <c r="A29" s="4" t="n">
        <v>25</v>
      </c>
      <c r="B29" s="4" t="inlineStr">
        <is>
          <t>ORD-20260065</t>
        </is>
      </c>
      <c r="C29" s="4" t="inlineStr">
        <is>
          <t>2026-09-04</t>
        </is>
      </c>
      <c r="D29" s="4" t="inlineStr">
        <is>
          <t>CUST-1026</t>
        </is>
      </c>
      <c r="E29" s="5" t="inlineStr">
        <is>
          <t>何孟勳</t>
        </is>
      </c>
      <c r="F29" s="4" t="inlineStr">
        <is>
          <t>飲品</t>
        </is>
      </c>
      <c r="G29" s="4" t="inlineStr">
        <is>
          <t>DRK-06</t>
        </is>
      </c>
      <c r="H29" s="5" t="inlineStr">
        <is>
          <t>古早味紅茶豆漿</t>
        </is>
      </c>
      <c r="I29" s="6" t="n">
        <v>2</v>
      </c>
      <c r="J29" s="7" t="n">
        <v>80</v>
      </c>
      <c r="K29" s="7">
        <f>I29*J29</f>
        <v/>
      </c>
    </row>
    <row r="30">
      <c r="A30" s="8" t="n">
        <v>26</v>
      </c>
      <c r="B30" s="8" t="inlineStr">
        <is>
          <t>ORD-20260070</t>
        </is>
      </c>
      <c r="C30" s="8" t="inlineStr">
        <is>
          <t>2026-09-04</t>
        </is>
      </c>
      <c r="D30" s="8" t="inlineStr">
        <is>
          <t>CUST-1042</t>
        </is>
      </c>
      <c r="E30" s="9" t="inlineStr">
        <is>
          <t>簡銘成</t>
        </is>
      </c>
      <c r="F30" s="8" t="inlineStr">
        <is>
          <t>湯品</t>
        </is>
      </c>
      <c r="G30" s="8" t="inlineStr">
        <is>
          <t>SOU-06</t>
        </is>
      </c>
      <c r="H30" s="9" t="inlineStr">
        <is>
          <t>貢丸蘿蔔排骨湯</t>
        </is>
      </c>
      <c r="I30" s="10" t="n">
        <v>1</v>
      </c>
      <c r="J30" s="11" t="n">
        <v>120</v>
      </c>
      <c r="K30" s="11">
        <f>I30*J30</f>
        <v/>
      </c>
    </row>
    <row r="31">
      <c r="A31" s="4" t="n">
        <v>27</v>
      </c>
      <c r="B31" s="4" t="inlineStr">
        <is>
          <t>ORD-20260078</t>
        </is>
      </c>
      <c r="C31" s="4" t="inlineStr">
        <is>
          <t>2026-09-04</t>
        </is>
      </c>
      <c r="D31" s="4" t="inlineStr">
        <is>
          <t>CUST-1048</t>
        </is>
      </c>
      <c r="E31" s="5" t="inlineStr">
        <is>
          <t>顏立威</t>
        </is>
      </c>
      <c r="F31" s="4" t="inlineStr">
        <is>
          <t>海鮮</t>
        </is>
      </c>
      <c r="G31" s="4" t="inlineStr">
        <is>
          <t>SEA-06</t>
        </is>
      </c>
      <c r="H31" s="5" t="inlineStr">
        <is>
          <t>清蒸金目鱸魚片</t>
        </is>
      </c>
      <c r="I31" s="6" t="n">
        <v>1</v>
      </c>
      <c r="J31" s="7" t="n">
        <v>240</v>
      </c>
      <c r="K31" s="7">
        <f>I31*J31</f>
        <v/>
      </c>
    </row>
    <row r="32">
      <c r="A32" s="8" t="n">
        <v>28</v>
      </c>
      <c r="B32" s="8" t="inlineStr">
        <is>
          <t>ORD-20260079</t>
        </is>
      </c>
      <c r="C32" s="8" t="inlineStr">
        <is>
          <t>2026-09-04</t>
        </is>
      </c>
      <c r="D32" s="8" t="inlineStr">
        <is>
          <t>CUST-1038</t>
        </is>
      </c>
      <c r="E32" s="9" t="inlineStr">
        <is>
          <t>鼎盛工程顧問</t>
        </is>
      </c>
      <c r="F32" s="8" t="inlineStr">
        <is>
          <t>湯品</t>
        </is>
      </c>
      <c r="G32" s="8" t="inlineStr">
        <is>
          <t>SOU-02</t>
        </is>
      </c>
      <c r="H32" s="9" t="inlineStr">
        <is>
          <t>鳳梨苦瓜雞湯</t>
        </is>
      </c>
      <c r="I32" s="10" t="n">
        <v>8</v>
      </c>
      <c r="J32" s="11" t="n">
        <v>210</v>
      </c>
      <c r="K32" s="11">
        <f>I32*J32</f>
        <v/>
      </c>
    </row>
    <row r="33">
      <c r="A33" s="4" t="n">
        <v>29</v>
      </c>
      <c r="B33" s="4" t="inlineStr">
        <is>
          <t>ORD-20260146</t>
        </is>
      </c>
      <c r="C33" s="4" t="inlineStr">
        <is>
          <t>2026-09-04</t>
        </is>
      </c>
      <c r="D33" s="4" t="inlineStr">
        <is>
          <t>CUST-1036</t>
        </is>
      </c>
      <c r="E33" s="5" t="inlineStr">
        <is>
          <t>聯發創新團隊</t>
        </is>
      </c>
      <c r="F33" s="4" t="inlineStr">
        <is>
          <t>海鮮</t>
        </is>
      </c>
      <c r="G33" s="4" t="inlineStr">
        <is>
          <t>SEA-01</t>
        </is>
      </c>
      <c r="H33" s="5" t="inlineStr">
        <is>
          <t>鳳梨蝦球</t>
        </is>
      </c>
      <c r="I33" s="6" t="n">
        <v>1</v>
      </c>
      <c r="J33" s="7" t="n">
        <v>250</v>
      </c>
      <c r="K33" s="7">
        <f>I33*J33</f>
        <v/>
      </c>
    </row>
    <row r="34">
      <c r="A34" s="8" t="n">
        <v>30</v>
      </c>
      <c r="B34" s="8" t="inlineStr">
        <is>
          <t>ORD-20260159</t>
        </is>
      </c>
      <c r="C34" s="8" t="inlineStr">
        <is>
          <t>2026-09-04</t>
        </is>
      </c>
      <c r="D34" s="8" t="inlineStr">
        <is>
          <t>CUST-1014</t>
        </is>
      </c>
      <c r="E34" s="9" t="inlineStr">
        <is>
          <t>洪志偉</t>
        </is>
      </c>
      <c r="F34" s="8" t="inlineStr">
        <is>
          <t>蔬菜</t>
        </is>
      </c>
      <c r="G34" s="8" t="inlineStr">
        <is>
          <t>VEG-05</t>
        </is>
      </c>
      <c r="H34" s="9" t="inlineStr">
        <is>
          <t>鹹蛋苦瓜</t>
        </is>
      </c>
      <c r="I34" s="10" t="n">
        <v>3</v>
      </c>
      <c r="J34" s="11" t="n">
        <v>160</v>
      </c>
      <c r="K34" s="11">
        <f>I34*J34</f>
        <v/>
      </c>
    </row>
    <row r="35">
      <c r="A35" s="4" t="n">
        <v>31</v>
      </c>
      <c r="B35" s="4" t="inlineStr">
        <is>
          <t>ORD-20260236</t>
        </is>
      </c>
      <c r="C35" s="4" t="inlineStr">
        <is>
          <t>2026-09-04</t>
        </is>
      </c>
      <c r="D35" s="4" t="inlineStr">
        <is>
          <t>CUST-1011</t>
        </is>
      </c>
      <c r="E35" s="5" t="inlineStr">
        <is>
          <t>許文彬</t>
        </is>
      </c>
      <c r="F35" s="4" t="inlineStr">
        <is>
          <t>海鮮</t>
        </is>
      </c>
      <c r="G35" s="4" t="inlineStr">
        <is>
          <t>SEA-05</t>
        </is>
      </c>
      <c r="H35" s="5" t="inlineStr">
        <is>
          <t>乾煎虱目魚肚</t>
        </is>
      </c>
      <c r="I35" s="6" t="n">
        <v>2</v>
      </c>
      <c r="J35" s="7" t="n">
        <v>180</v>
      </c>
      <c r="K35" s="7">
        <f>I35*J35</f>
        <v/>
      </c>
    </row>
    <row r="36">
      <c r="A36" s="8" t="n">
        <v>32</v>
      </c>
      <c r="B36" s="8" t="inlineStr">
        <is>
          <t>ORD-20260069</t>
        </is>
      </c>
      <c r="C36" s="8" t="inlineStr">
        <is>
          <t>2026-09-05</t>
        </is>
      </c>
      <c r="D36" s="8" t="inlineStr">
        <is>
          <t>CUST-1029</t>
        </is>
      </c>
      <c r="E36" s="9" t="inlineStr">
        <is>
          <t>莊佩珊</t>
        </is>
      </c>
      <c r="F36" s="8" t="inlineStr">
        <is>
          <t>主食</t>
        </is>
      </c>
      <c r="G36" s="8" t="inlineStr">
        <is>
          <t>STA-01</t>
        </is>
      </c>
      <c r="H36" s="9" t="inlineStr">
        <is>
          <t>台式古早味炒米粉</t>
        </is>
      </c>
      <c r="I36" s="10" t="n">
        <v>1</v>
      </c>
      <c r="J36" s="11" t="n">
        <v>120</v>
      </c>
      <c r="K36" s="11">
        <f>I36*J36</f>
        <v/>
      </c>
    </row>
    <row r="37">
      <c r="A37" s="4" t="n">
        <v>33</v>
      </c>
      <c r="B37" s="4" t="inlineStr">
        <is>
          <t>ORD-20260089</t>
        </is>
      </c>
      <c r="C37" s="4" t="inlineStr">
        <is>
          <t>2026-09-05</t>
        </is>
      </c>
      <c r="D37" s="4" t="inlineStr">
        <is>
          <t>CUST-1035</t>
        </is>
      </c>
      <c r="E37" s="5" t="inlineStr">
        <is>
          <t>台塑顧問公司</t>
        </is>
      </c>
      <c r="F37" s="4" t="inlineStr">
        <is>
          <t>肉品</t>
        </is>
      </c>
      <c r="G37" s="4" t="inlineStr">
        <is>
          <t>MEA-07</t>
        </is>
      </c>
      <c r="H37" s="5" t="inlineStr">
        <is>
          <t>薑絲炒大腸</t>
        </is>
      </c>
      <c r="I37" s="6" t="n">
        <v>8</v>
      </c>
      <c r="J37" s="7" t="n">
        <v>210</v>
      </c>
      <c r="K37" s="7">
        <f>I37*J37</f>
        <v/>
      </c>
    </row>
    <row r="38">
      <c r="A38" s="8" t="n">
        <v>34</v>
      </c>
      <c r="B38" s="8" t="inlineStr">
        <is>
          <t>ORD-20260104</t>
        </is>
      </c>
      <c r="C38" s="8" t="inlineStr">
        <is>
          <t>2026-09-05</t>
        </is>
      </c>
      <c r="D38" s="8" t="inlineStr">
        <is>
          <t>CUST-1045</t>
        </is>
      </c>
      <c r="E38" s="9" t="inlineStr">
        <is>
          <t>翁淑真</t>
        </is>
      </c>
      <c r="F38" s="8" t="inlineStr">
        <is>
          <t>肉品</t>
        </is>
      </c>
      <c r="G38" s="8" t="inlineStr">
        <is>
          <t>MEA-03</t>
        </is>
      </c>
      <c r="H38" s="9" t="inlineStr">
        <is>
          <t>客家小炒</t>
        </is>
      </c>
      <c r="I38" s="10" t="n">
        <v>10</v>
      </c>
      <c r="J38" s="11" t="n">
        <v>190</v>
      </c>
      <c r="K38" s="11">
        <f>I38*J38</f>
        <v/>
      </c>
    </row>
    <row r="39">
      <c r="A39" s="4" t="n">
        <v>35</v>
      </c>
      <c r="B39" s="4" t="inlineStr">
        <is>
          <t>ORD-20260220</t>
        </is>
      </c>
      <c r="C39" s="4" t="inlineStr">
        <is>
          <t>2026-09-05</t>
        </is>
      </c>
      <c r="D39" s="4" t="inlineStr">
        <is>
          <t>CUST-1037</t>
        </is>
      </c>
      <c r="E39" s="5" t="inlineStr">
        <is>
          <t>晨曦文創公司</t>
        </is>
      </c>
      <c r="F39" s="4" t="inlineStr">
        <is>
          <t>主食</t>
        </is>
      </c>
      <c r="G39" s="4" t="inlineStr">
        <is>
          <t>STA-06</t>
        </is>
      </c>
      <c r="H39" s="5" t="inlineStr">
        <is>
          <t>麻油雞煨飯</t>
        </is>
      </c>
      <c r="I39" s="6" t="n">
        <v>1</v>
      </c>
      <c r="J39" s="7" t="n">
        <v>180</v>
      </c>
      <c r="K39" s="7">
        <f>I39*J39</f>
        <v/>
      </c>
    </row>
    <row r="40">
      <c r="A40" s="8" t="n">
        <v>36</v>
      </c>
      <c r="B40" s="8" t="inlineStr">
        <is>
          <t>ORD-20260278</t>
        </is>
      </c>
      <c r="C40" s="8" t="inlineStr">
        <is>
          <t>2026-09-05</t>
        </is>
      </c>
      <c r="D40" s="8" t="inlineStr">
        <is>
          <t>CUST-1031</t>
        </is>
      </c>
      <c r="E40" s="9" t="inlineStr">
        <is>
          <t>宏達數位科技</t>
        </is>
      </c>
      <c r="F40" s="8" t="inlineStr">
        <is>
          <t>海鮮</t>
        </is>
      </c>
      <c r="G40" s="8" t="inlineStr">
        <is>
          <t>SEA-02</t>
        </is>
      </c>
      <c r="H40" s="9" t="inlineStr">
        <is>
          <t>豆酥鱈魚</t>
        </is>
      </c>
      <c r="I40" s="10" t="n">
        <v>2</v>
      </c>
      <c r="J40" s="11" t="n">
        <v>240</v>
      </c>
      <c r="K40" s="11">
        <f>I40*J40</f>
        <v/>
      </c>
    </row>
    <row r="41">
      <c r="A41" s="4" t="n">
        <v>37</v>
      </c>
      <c r="B41" s="4" t="inlineStr">
        <is>
          <t>ORD-20260003</t>
        </is>
      </c>
      <c r="C41" s="4" t="inlineStr">
        <is>
          <t>2026-09-06</t>
        </is>
      </c>
      <c r="D41" s="4" t="inlineStr">
        <is>
          <t>CUST-1038</t>
        </is>
      </c>
      <c r="E41" s="5" t="inlineStr">
        <is>
          <t>鼎盛工程顧問</t>
        </is>
      </c>
      <c r="F41" s="4" t="inlineStr">
        <is>
          <t>蔬菜</t>
        </is>
      </c>
      <c r="G41" s="4" t="inlineStr">
        <is>
          <t>VEG-06</t>
        </is>
      </c>
      <c r="H41" s="5" t="inlineStr">
        <is>
          <t>吻仔魚莧菜</t>
        </is>
      </c>
      <c r="I41" s="6" t="n">
        <v>1</v>
      </c>
      <c r="J41" s="7" t="n">
        <v>140</v>
      </c>
      <c r="K41" s="7">
        <f>I41*J41</f>
        <v/>
      </c>
    </row>
    <row r="42">
      <c r="A42" s="8" t="n">
        <v>38</v>
      </c>
      <c r="B42" s="8" t="inlineStr">
        <is>
          <t>ORD-20260017</t>
        </is>
      </c>
      <c r="C42" s="8" t="inlineStr">
        <is>
          <t>2026-09-06</t>
        </is>
      </c>
      <c r="D42" s="8" t="inlineStr">
        <is>
          <t>CUST-1015</t>
        </is>
      </c>
      <c r="E42" s="9" t="inlineStr">
        <is>
          <t>郭宏達</t>
        </is>
      </c>
      <c r="F42" s="8" t="inlineStr">
        <is>
          <t>冷盤</t>
        </is>
      </c>
      <c r="G42" s="8" t="inlineStr">
        <is>
          <t>APP-07</t>
        </is>
      </c>
      <c r="H42" s="9" t="inlineStr">
        <is>
          <t>煙燻粉肝</t>
        </is>
      </c>
      <c r="I42" s="10" t="n">
        <v>3</v>
      </c>
      <c r="J42" s="11" t="n">
        <v>120</v>
      </c>
      <c r="K42" s="11">
        <f>I42*J42</f>
        <v/>
      </c>
    </row>
    <row r="43">
      <c r="A43" s="4" t="n">
        <v>39</v>
      </c>
      <c r="B43" s="4" t="inlineStr">
        <is>
          <t>ORD-20260047</t>
        </is>
      </c>
      <c r="C43" s="4" t="inlineStr">
        <is>
          <t>2026-09-06</t>
        </is>
      </c>
      <c r="D43" s="4" t="inlineStr">
        <is>
          <t>CUST-1047</t>
        </is>
      </c>
      <c r="E43" s="5" t="inlineStr">
        <is>
          <t>江佩芳</t>
        </is>
      </c>
      <c r="F43" s="4" t="inlineStr">
        <is>
          <t>湯品</t>
        </is>
      </c>
      <c r="G43" s="4" t="inlineStr">
        <is>
          <t>SOU-03</t>
        </is>
      </c>
      <c r="H43" s="5" t="inlineStr">
        <is>
          <t>鮮魚味噌豆腐湯</t>
        </is>
      </c>
      <c r="I43" s="6" t="n">
        <v>1</v>
      </c>
      <c r="J43" s="7" t="n">
        <v>160</v>
      </c>
      <c r="K43" s="7">
        <f>I43*J43</f>
        <v/>
      </c>
    </row>
    <row r="44">
      <c r="A44" s="8" t="n">
        <v>40</v>
      </c>
      <c r="B44" s="8" t="inlineStr">
        <is>
          <t>ORD-20260071</t>
        </is>
      </c>
      <c r="C44" s="8" t="inlineStr">
        <is>
          <t>2026-09-06</t>
        </is>
      </c>
      <c r="D44" s="8" t="inlineStr">
        <is>
          <t>CUST-1049</t>
        </is>
      </c>
      <c r="E44" s="9" t="inlineStr">
        <is>
          <t>蕭雅涵</t>
        </is>
      </c>
      <c r="F44" s="8" t="inlineStr">
        <is>
          <t>海鮮</t>
        </is>
      </c>
      <c r="G44" s="8" t="inlineStr">
        <is>
          <t>SEA-01</t>
        </is>
      </c>
      <c r="H44" s="9" t="inlineStr">
        <is>
          <t>鳳梨蝦球</t>
        </is>
      </c>
      <c r="I44" s="10" t="n">
        <v>1</v>
      </c>
      <c r="J44" s="11" t="n">
        <v>250</v>
      </c>
      <c r="K44" s="11">
        <f>I44*J44</f>
        <v/>
      </c>
    </row>
    <row r="45">
      <c r="A45" s="4" t="n">
        <v>41</v>
      </c>
      <c r="B45" s="4" t="inlineStr">
        <is>
          <t>ORD-20260081</t>
        </is>
      </c>
      <c r="C45" s="4" t="inlineStr">
        <is>
          <t>2026-09-06</t>
        </is>
      </c>
      <c r="D45" s="4" t="inlineStr">
        <is>
          <t>CUST-1012</t>
        </is>
      </c>
      <c r="E45" s="5" t="inlineStr">
        <is>
          <t>鄭雅雯</t>
        </is>
      </c>
      <c r="F45" s="4" t="inlineStr">
        <is>
          <t>冷盤</t>
        </is>
      </c>
      <c r="G45" s="4" t="inlineStr">
        <is>
          <t>APP-05</t>
        </is>
      </c>
      <c r="H45" s="5" t="inlineStr">
        <is>
          <t>黃金皮蛋豆腐</t>
        </is>
      </c>
      <c r="I45" s="6" t="n">
        <v>1</v>
      </c>
      <c r="J45" s="7" t="n">
        <v>90</v>
      </c>
      <c r="K45" s="7">
        <f>I45*J45</f>
        <v/>
      </c>
    </row>
    <row r="46">
      <c r="A46" s="8" t="n">
        <v>42</v>
      </c>
      <c r="B46" s="8" t="inlineStr">
        <is>
          <t>ORD-20260100</t>
        </is>
      </c>
      <c r="C46" s="8" t="inlineStr">
        <is>
          <t>2026-09-06</t>
        </is>
      </c>
      <c r="D46" s="8" t="inlineStr">
        <is>
          <t>CUST-1041</t>
        </is>
      </c>
      <c r="E46" s="9" t="inlineStr">
        <is>
          <t>彭思涵</t>
        </is>
      </c>
      <c r="F46" s="8" t="inlineStr">
        <is>
          <t>蔬菜</t>
        </is>
      </c>
      <c r="G46" s="8" t="inlineStr">
        <is>
          <t>VEG-06</t>
        </is>
      </c>
      <c r="H46" s="9" t="inlineStr">
        <is>
          <t>吻仔魚莧菜</t>
        </is>
      </c>
      <c r="I46" s="10" t="n">
        <v>2</v>
      </c>
      <c r="J46" s="11" t="n">
        <v>140</v>
      </c>
      <c r="K46" s="11">
        <f>I46*J46</f>
        <v/>
      </c>
    </row>
    <row r="47">
      <c r="A47" s="4" t="n">
        <v>43</v>
      </c>
      <c r="B47" s="4" t="inlineStr">
        <is>
          <t>ORD-20260138</t>
        </is>
      </c>
      <c r="C47" s="4" t="inlineStr">
        <is>
          <t>2026-09-06</t>
        </is>
      </c>
      <c r="D47" s="4" t="inlineStr">
        <is>
          <t>CUST-1049</t>
        </is>
      </c>
      <c r="E47" s="5" t="inlineStr">
        <is>
          <t>蕭雅涵</t>
        </is>
      </c>
      <c r="F47" s="4" t="inlineStr">
        <is>
          <t>海鮮</t>
        </is>
      </c>
      <c r="G47" s="4" t="inlineStr">
        <is>
          <t>SEA-01</t>
        </is>
      </c>
      <c r="H47" s="5" t="inlineStr">
        <is>
          <t>鳳梨蝦球</t>
        </is>
      </c>
      <c r="I47" s="6" t="n">
        <v>2</v>
      </c>
      <c r="J47" s="7" t="n">
        <v>250</v>
      </c>
      <c r="K47" s="7">
        <f>I47*J47</f>
        <v/>
      </c>
    </row>
    <row r="48">
      <c r="A48" s="8" t="n">
        <v>44</v>
      </c>
      <c r="B48" s="8" t="inlineStr">
        <is>
          <t>ORD-20260168</t>
        </is>
      </c>
      <c r="C48" s="8" t="inlineStr">
        <is>
          <t>2026-09-06</t>
        </is>
      </c>
      <c r="D48" s="8" t="inlineStr">
        <is>
          <t>CUST-1042</t>
        </is>
      </c>
      <c r="E48" s="9" t="inlineStr">
        <is>
          <t>簡銘成</t>
        </is>
      </c>
      <c r="F48" s="8" t="inlineStr">
        <is>
          <t>蔬菜</t>
        </is>
      </c>
      <c r="G48" s="8" t="inlineStr">
        <is>
          <t>VEG-06</t>
        </is>
      </c>
      <c r="H48" s="9" t="inlineStr">
        <is>
          <t>吻仔魚莧菜</t>
        </is>
      </c>
      <c r="I48" s="10" t="n">
        <v>1</v>
      </c>
      <c r="J48" s="11" t="n">
        <v>140</v>
      </c>
      <c r="K48" s="11">
        <f>I48*J48</f>
        <v/>
      </c>
    </row>
    <row r="49">
      <c r="A49" s="4" t="n">
        <v>45</v>
      </c>
      <c r="B49" s="4" t="inlineStr">
        <is>
          <t>ORD-20260199</t>
        </is>
      </c>
      <c r="C49" s="4" t="inlineStr">
        <is>
          <t>2026-09-06</t>
        </is>
      </c>
      <c r="D49" s="4" t="inlineStr">
        <is>
          <t>CUST-1016</t>
        </is>
      </c>
      <c r="E49" s="5" t="inlineStr">
        <is>
          <t>曾美慧</t>
        </is>
      </c>
      <c r="F49" s="4" t="inlineStr">
        <is>
          <t>飲品</t>
        </is>
      </c>
      <c r="G49" s="4" t="inlineStr">
        <is>
          <t>DRK-06</t>
        </is>
      </c>
      <c r="H49" s="5" t="inlineStr">
        <is>
          <t>古早味紅茶豆漿</t>
        </is>
      </c>
      <c r="I49" s="6" t="n">
        <v>4</v>
      </c>
      <c r="J49" s="7" t="n">
        <v>80</v>
      </c>
      <c r="K49" s="7">
        <f>I49*J49</f>
        <v/>
      </c>
    </row>
    <row r="50">
      <c r="A50" s="8" t="n">
        <v>46</v>
      </c>
      <c r="B50" s="8" t="inlineStr">
        <is>
          <t>ORD-20260222</t>
        </is>
      </c>
      <c r="C50" s="8" t="inlineStr">
        <is>
          <t>2026-09-06</t>
        </is>
      </c>
      <c r="D50" s="8" t="inlineStr">
        <is>
          <t>CUST-1016</t>
        </is>
      </c>
      <c r="E50" s="9" t="inlineStr">
        <is>
          <t>曾美慧</t>
        </is>
      </c>
      <c r="F50" s="8" t="inlineStr">
        <is>
          <t>肉品</t>
        </is>
      </c>
      <c r="G50" s="8" t="inlineStr">
        <is>
          <t>MEA-01</t>
        </is>
      </c>
      <c r="H50" s="9" t="inlineStr">
        <is>
          <t>經典台式三杯雞</t>
        </is>
      </c>
      <c r="I50" s="10" t="n">
        <v>10</v>
      </c>
      <c r="J50" s="11" t="n">
        <v>240</v>
      </c>
      <c r="K50" s="11">
        <f>I50*J50</f>
        <v/>
      </c>
    </row>
    <row r="51">
      <c r="A51" s="4" t="n">
        <v>47</v>
      </c>
      <c r="B51" s="4" t="inlineStr">
        <is>
          <t>ORD-20260228</t>
        </is>
      </c>
      <c r="C51" s="4" t="inlineStr">
        <is>
          <t>2026-09-06</t>
        </is>
      </c>
      <c r="D51" s="4" t="inlineStr">
        <is>
          <t>CUST-1011</t>
        </is>
      </c>
      <c r="E51" s="5" t="inlineStr">
        <is>
          <t>許文彬</t>
        </is>
      </c>
      <c r="F51" s="4" t="inlineStr">
        <is>
          <t>海鮮</t>
        </is>
      </c>
      <c r="G51" s="4" t="inlineStr">
        <is>
          <t>SEA-01</t>
        </is>
      </c>
      <c r="H51" s="5" t="inlineStr">
        <is>
          <t>鳳梨蝦球</t>
        </is>
      </c>
      <c r="I51" s="6" t="n">
        <v>1</v>
      </c>
      <c r="J51" s="7" t="n">
        <v>250</v>
      </c>
      <c r="K51" s="7">
        <f>I51*J51</f>
        <v/>
      </c>
    </row>
    <row r="52">
      <c r="A52" s="8" t="n">
        <v>48</v>
      </c>
      <c r="B52" s="8" t="inlineStr">
        <is>
          <t>ORD-20260011</t>
        </is>
      </c>
      <c r="C52" s="8" t="inlineStr">
        <is>
          <t>2026-09-07</t>
        </is>
      </c>
      <c r="D52" s="8" t="inlineStr">
        <is>
          <t>CUST-1023</t>
        </is>
      </c>
      <c r="E52" s="9" t="inlineStr">
        <is>
          <t>朱佳琪</t>
        </is>
      </c>
      <c r="F52" s="8" t="inlineStr">
        <is>
          <t>蔬菜</t>
        </is>
      </c>
      <c r="G52" s="8" t="inlineStr">
        <is>
          <t>VEG-01</t>
        </is>
      </c>
      <c r="H52" s="9" t="inlineStr">
        <is>
          <t>清炒高麗菜</t>
        </is>
      </c>
      <c r="I52" s="10" t="n">
        <v>2</v>
      </c>
      <c r="J52" s="11" t="n">
        <v>110</v>
      </c>
      <c r="K52" s="11">
        <f>I52*J52</f>
        <v/>
      </c>
    </row>
    <row r="53">
      <c r="A53" s="4" t="n">
        <v>49</v>
      </c>
      <c r="B53" s="4" t="inlineStr">
        <is>
          <t>ORD-20260041</t>
        </is>
      </c>
      <c r="C53" s="4" t="inlineStr">
        <is>
          <t>2026-09-07</t>
        </is>
      </c>
      <c r="D53" s="4" t="inlineStr">
        <is>
          <t>CUST-1041</t>
        </is>
      </c>
      <c r="E53" s="5" t="inlineStr">
        <is>
          <t>彭思涵</t>
        </is>
      </c>
      <c r="F53" s="4" t="inlineStr">
        <is>
          <t>海鮮</t>
        </is>
      </c>
      <c r="G53" s="4" t="inlineStr">
        <is>
          <t>SEA-05</t>
        </is>
      </c>
      <c r="H53" s="5" t="inlineStr">
        <is>
          <t>乾煎虱目魚肚</t>
        </is>
      </c>
      <c r="I53" s="6" t="n">
        <v>8</v>
      </c>
      <c r="J53" s="7" t="n">
        <v>180</v>
      </c>
      <c r="K53" s="7">
        <f>I53*J53</f>
        <v/>
      </c>
    </row>
    <row r="54">
      <c r="A54" s="8" t="n">
        <v>50</v>
      </c>
      <c r="B54" s="8" t="inlineStr">
        <is>
          <t>ORD-20260062</t>
        </is>
      </c>
      <c r="C54" s="8" t="inlineStr">
        <is>
          <t>2026-09-07</t>
        </is>
      </c>
      <c r="D54" s="8" t="inlineStr">
        <is>
          <t>CUST-1007</t>
        </is>
      </c>
      <c r="E54" s="9" t="inlineStr">
        <is>
          <t>吳美玲</t>
        </is>
      </c>
      <c r="F54" s="8" t="inlineStr">
        <is>
          <t>飲品</t>
        </is>
      </c>
      <c r="G54" s="8" t="inlineStr">
        <is>
          <t>DRK-02</t>
        </is>
      </c>
      <c r="H54" s="9" t="inlineStr">
        <is>
          <t>黑糖珍珠鮮奶</t>
        </is>
      </c>
      <c r="I54" s="10" t="n">
        <v>4</v>
      </c>
      <c r="J54" s="11" t="n">
        <v>90</v>
      </c>
      <c r="K54" s="11">
        <f>I54*J54</f>
        <v/>
      </c>
    </row>
    <row r="55">
      <c r="A55" s="4" t="n">
        <v>51</v>
      </c>
      <c r="B55" s="4" t="inlineStr">
        <is>
          <t>ORD-20260066</t>
        </is>
      </c>
      <c r="C55" s="4" t="inlineStr">
        <is>
          <t>2026-09-07</t>
        </is>
      </c>
      <c r="D55" s="4" t="inlineStr">
        <is>
          <t>CUST-1016</t>
        </is>
      </c>
      <c r="E55" s="5" t="inlineStr">
        <is>
          <t>曾美慧</t>
        </is>
      </c>
      <c r="F55" s="4" t="inlineStr">
        <is>
          <t>肉品</t>
        </is>
      </c>
      <c r="G55" s="4" t="inlineStr">
        <is>
          <t>MEA-06</t>
        </is>
      </c>
      <c r="H55" s="5" t="inlineStr">
        <is>
          <t>香酥炸排骨</t>
        </is>
      </c>
      <c r="I55" s="6" t="n">
        <v>1</v>
      </c>
      <c r="J55" s="7" t="n">
        <v>160</v>
      </c>
      <c r="K55" s="7">
        <f>I55*J55</f>
        <v/>
      </c>
    </row>
    <row r="56">
      <c r="A56" s="8" t="n">
        <v>52</v>
      </c>
      <c r="B56" s="8" t="inlineStr">
        <is>
          <t>ORD-20260144</t>
        </is>
      </c>
      <c r="C56" s="8" t="inlineStr">
        <is>
          <t>2026-09-07</t>
        </is>
      </c>
      <c r="D56" s="8" t="inlineStr">
        <is>
          <t>CUST-1050</t>
        </is>
      </c>
      <c r="E56" s="9" t="inlineStr">
        <is>
          <t>范明達</t>
        </is>
      </c>
      <c r="F56" s="8" t="inlineStr">
        <is>
          <t>蔬菜</t>
        </is>
      </c>
      <c r="G56" s="8" t="inlineStr">
        <is>
          <t>VEG-06</t>
        </is>
      </c>
      <c r="H56" s="9" t="inlineStr">
        <is>
          <t>吻仔魚莧菜</t>
        </is>
      </c>
      <c r="I56" s="10" t="n">
        <v>1</v>
      </c>
      <c r="J56" s="11" t="n">
        <v>140</v>
      </c>
      <c r="K56" s="11">
        <f>I56*J56</f>
        <v/>
      </c>
    </row>
    <row r="57">
      <c r="A57" s="4" t="n">
        <v>53</v>
      </c>
      <c r="B57" s="4" t="inlineStr">
        <is>
          <t>ORD-20260184</t>
        </is>
      </c>
      <c r="C57" s="4" t="inlineStr">
        <is>
          <t>2026-09-07</t>
        </is>
      </c>
      <c r="D57" s="4" t="inlineStr">
        <is>
          <t>CUST-1045</t>
        </is>
      </c>
      <c r="E57" s="5" t="inlineStr">
        <is>
          <t>翁淑真</t>
        </is>
      </c>
      <c r="F57" s="4" t="inlineStr">
        <is>
          <t>海鮮</t>
        </is>
      </c>
      <c r="G57" s="4" t="inlineStr">
        <is>
          <t>SEA-05</t>
        </is>
      </c>
      <c r="H57" s="5" t="inlineStr">
        <is>
          <t>乾煎虱目魚肚</t>
        </is>
      </c>
      <c r="I57" s="6" t="n">
        <v>1</v>
      </c>
      <c r="J57" s="7" t="n">
        <v>180</v>
      </c>
      <c r="K57" s="7">
        <f>I57*J57</f>
        <v/>
      </c>
    </row>
    <row r="58">
      <c r="A58" s="8" t="n">
        <v>54</v>
      </c>
      <c r="B58" s="8" t="inlineStr">
        <is>
          <t>ORD-20260276</t>
        </is>
      </c>
      <c r="C58" s="8" t="inlineStr">
        <is>
          <t>2026-09-07</t>
        </is>
      </c>
      <c r="D58" s="8" t="inlineStr">
        <is>
          <t>CUST-1034</t>
        </is>
      </c>
      <c r="E58" s="9" t="inlineStr">
        <is>
          <t>富邦行銷企劃</t>
        </is>
      </c>
      <c r="F58" s="8" t="inlineStr">
        <is>
          <t>湯品</t>
        </is>
      </c>
      <c r="G58" s="8" t="inlineStr">
        <is>
          <t>SOU-01</t>
        </is>
      </c>
      <c r="H58" s="9" t="inlineStr">
        <is>
          <t>剝皮辣椒雞湯</t>
        </is>
      </c>
      <c r="I58" s="10" t="n">
        <v>1</v>
      </c>
      <c r="J58" s="11" t="n">
        <v>220</v>
      </c>
      <c r="K58" s="11">
        <f>I58*J58</f>
        <v/>
      </c>
    </row>
    <row r="59">
      <c r="A59" s="4" t="n">
        <v>55</v>
      </c>
      <c r="B59" s="4" t="inlineStr">
        <is>
          <t>ORD-20260285</t>
        </is>
      </c>
      <c r="C59" s="4" t="inlineStr">
        <is>
          <t>2026-09-07</t>
        </is>
      </c>
      <c r="D59" s="4" t="inlineStr">
        <is>
          <t>CUST-1049</t>
        </is>
      </c>
      <c r="E59" s="5" t="inlineStr">
        <is>
          <t>蕭雅涵</t>
        </is>
      </c>
      <c r="F59" s="4" t="inlineStr">
        <is>
          <t>主食</t>
        </is>
      </c>
      <c r="G59" s="4" t="inlineStr">
        <is>
          <t>STA-06</t>
        </is>
      </c>
      <c r="H59" s="5" t="inlineStr">
        <is>
          <t>麻油雞煨飯</t>
        </is>
      </c>
      <c r="I59" s="6" t="n">
        <v>1</v>
      </c>
      <c r="J59" s="7" t="n">
        <v>180</v>
      </c>
      <c r="K59" s="7">
        <f>I59*J59</f>
        <v/>
      </c>
    </row>
    <row r="60">
      <c r="A60" s="8" t="n">
        <v>56</v>
      </c>
      <c r="B60" s="8" t="inlineStr">
        <is>
          <t>ORD-20260306</t>
        </is>
      </c>
      <c r="C60" s="8" t="inlineStr">
        <is>
          <t>2026-09-07</t>
        </is>
      </c>
      <c r="D60" s="8" t="inlineStr">
        <is>
          <t>CUST-1041</t>
        </is>
      </c>
      <c r="E60" s="9" t="inlineStr">
        <is>
          <t>彭思涵</t>
        </is>
      </c>
      <c r="F60" s="8" t="inlineStr">
        <is>
          <t>飲品</t>
        </is>
      </c>
      <c r="G60" s="8" t="inlineStr">
        <is>
          <t>DRK-01</t>
        </is>
      </c>
      <c r="H60" s="9" t="inlineStr">
        <is>
          <t>古早味冬瓜檸檬</t>
        </is>
      </c>
      <c r="I60" s="10" t="n">
        <v>1</v>
      </c>
      <c r="J60" s="11" t="n">
        <v>80</v>
      </c>
      <c r="K60" s="11">
        <f>I60*J60</f>
        <v/>
      </c>
    </row>
    <row r="61">
      <c r="A61" s="4" t="n">
        <v>57</v>
      </c>
      <c r="B61" s="4" t="inlineStr">
        <is>
          <t>ORD-20260318</t>
        </is>
      </c>
      <c r="C61" s="4" t="inlineStr">
        <is>
          <t>2026-09-07</t>
        </is>
      </c>
      <c r="D61" s="4" t="inlineStr">
        <is>
          <t>CUST-1044</t>
        </is>
      </c>
      <c r="E61" s="5" t="inlineStr">
        <is>
          <t>柯宗憲</t>
        </is>
      </c>
      <c r="F61" s="4" t="inlineStr">
        <is>
          <t>肉品</t>
        </is>
      </c>
      <c r="G61" s="4" t="inlineStr">
        <is>
          <t>MEA-08</t>
        </is>
      </c>
      <c r="H61" s="5" t="inlineStr">
        <is>
          <t>麻油松阪豬</t>
        </is>
      </c>
      <c r="I61" s="6" t="n">
        <v>6</v>
      </c>
      <c r="J61" s="7" t="n">
        <v>250</v>
      </c>
      <c r="K61" s="7">
        <f>I61*J61</f>
        <v/>
      </c>
    </row>
    <row r="62">
      <c r="A62" s="8" t="n">
        <v>58</v>
      </c>
      <c r="B62" s="8" t="inlineStr">
        <is>
          <t>ORD-20260001</t>
        </is>
      </c>
      <c r="C62" s="8" t="inlineStr">
        <is>
          <t>2026-09-08</t>
        </is>
      </c>
      <c r="D62" s="8" t="inlineStr">
        <is>
          <t>CUST-1002</t>
        </is>
      </c>
      <c r="E62" s="9" t="inlineStr">
        <is>
          <t>林志明</t>
        </is>
      </c>
      <c r="F62" s="8" t="inlineStr">
        <is>
          <t>海鮮</t>
        </is>
      </c>
      <c r="G62" s="8" t="inlineStr">
        <is>
          <t>SEA-03</t>
        </is>
      </c>
      <c r="H62" s="9" t="inlineStr">
        <is>
          <t>塔香炒蛤蜊</t>
        </is>
      </c>
      <c r="I62" s="10" t="n">
        <v>1</v>
      </c>
      <c r="J62" s="11" t="n">
        <v>190</v>
      </c>
      <c r="K62" s="11">
        <f>I62*J62</f>
        <v/>
      </c>
    </row>
    <row r="63">
      <c r="A63" s="4" t="n">
        <v>59</v>
      </c>
      <c r="B63" s="4" t="inlineStr">
        <is>
          <t>ORD-20260013</t>
        </is>
      </c>
      <c r="C63" s="4" t="inlineStr">
        <is>
          <t>2026-09-08</t>
        </is>
      </c>
      <c r="D63" s="4" t="inlineStr">
        <is>
          <t>CUST-1025</t>
        </is>
      </c>
      <c r="E63" s="5" t="inlineStr">
        <is>
          <t>葉宜君</t>
        </is>
      </c>
      <c r="F63" s="4" t="inlineStr">
        <is>
          <t>冷盤</t>
        </is>
      </c>
      <c r="G63" s="4" t="inlineStr">
        <is>
          <t>APP-06</t>
        </is>
      </c>
      <c r="H63" s="5" t="inlineStr">
        <is>
          <t>涼拌海蜇皮</t>
        </is>
      </c>
      <c r="I63" s="6" t="n">
        <v>10</v>
      </c>
      <c r="J63" s="7" t="n">
        <v>180</v>
      </c>
      <c r="K63" s="7">
        <f>I63*J63</f>
        <v/>
      </c>
    </row>
    <row r="64">
      <c r="A64" s="8" t="n">
        <v>60</v>
      </c>
      <c r="B64" s="8" t="inlineStr">
        <is>
          <t>ORD-20260038</t>
        </is>
      </c>
      <c r="C64" s="8" t="inlineStr">
        <is>
          <t>2026-09-08</t>
        </is>
      </c>
      <c r="D64" s="8" t="inlineStr">
        <is>
          <t>CUST-1019</t>
        </is>
      </c>
      <c r="E64" s="9" t="inlineStr">
        <is>
          <t>賴彥宏</t>
        </is>
      </c>
      <c r="F64" s="8" t="inlineStr">
        <is>
          <t>蔬菜</t>
        </is>
      </c>
      <c r="G64" s="8" t="inlineStr">
        <is>
          <t>VEG-06</t>
        </is>
      </c>
      <c r="H64" s="9" t="inlineStr">
        <is>
          <t>吻仔魚莧菜</t>
        </is>
      </c>
      <c r="I64" s="10" t="n">
        <v>1</v>
      </c>
      <c r="J64" s="11" t="n">
        <v>140</v>
      </c>
      <c r="K64" s="11">
        <f>I64*J64</f>
        <v/>
      </c>
    </row>
    <row r="65">
      <c r="A65" s="4" t="n">
        <v>61</v>
      </c>
      <c r="B65" s="4" t="inlineStr">
        <is>
          <t>ORD-20260045</t>
        </is>
      </c>
      <c r="C65" s="4" t="inlineStr">
        <is>
          <t>2026-09-08</t>
        </is>
      </c>
      <c r="D65" s="4" t="inlineStr">
        <is>
          <t>CUST-1024</t>
        </is>
      </c>
      <c r="E65" s="5" t="inlineStr">
        <is>
          <t>高銘賢</t>
        </is>
      </c>
      <c r="F65" s="4" t="inlineStr">
        <is>
          <t>海鮮</t>
        </is>
      </c>
      <c r="G65" s="4" t="inlineStr">
        <is>
          <t>SEA-05</t>
        </is>
      </c>
      <c r="H65" s="5" t="inlineStr">
        <is>
          <t>乾煎虱目魚肚</t>
        </is>
      </c>
      <c r="I65" s="6" t="n">
        <v>1</v>
      </c>
      <c r="J65" s="7" t="n">
        <v>180</v>
      </c>
      <c r="K65" s="7">
        <f>I65*J65</f>
        <v/>
      </c>
    </row>
    <row r="66">
      <c r="A66" s="8" t="n">
        <v>62</v>
      </c>
      <c r="B66" s="8" t="inlineStr">
        <is>
          <t>ORD-20260219</t>
        </is>
      </c>
      <c r="C66" s="8" t="inlineStr">
        <is>
          <t>2026-09-08</t>
        </is>
      </c>
      <c r="D66" s="8" t="inlineStr">
        <is>
          <t>CUST-1005</t>
        </is>
      </c>
      <c r="E66" s="9" t="inlineStr">
        <is>
          <t>李雅婷</t>
        </is>
      </c>
      <c r="F66" s="8" t="inlineStr">
        <is>
          <t>蔬菜</t>
        </is>
      </c>
      <c r="G66" s="8" t="inlineStr">
        <is>
          <t>VEG-04</t>
        </is>
      </c>
      <c r="H66" s="9" t="inlineStr">
        <is>
          <t>蒜炒地瓜葉</t>
        </is>
      </c>
      <c r="I66" s="10" t="n">
        <v>6</v>
      </c>
      <c r="J66" s="11" t="n">
        <v>90</v>
      </c>
      <c r="K66" s="11">
        <f>I66*J66</f>
        <v/>
      </c>
    </row>
    <row r="67">
      <c r="A67" s="4" t="n">
        <v>63</v>
      </c>
      <c r="B67" s="4" t="inlineStr">
        <is>
          <t>ORD-20260260</t>
        </is>
      </c>
      <c r="C67" s="4" t="inlineStr">
        <is>
          <t>2026-09-08</t>
        </is>
      </c>
      <c r="D67" s="4" t="inlineStr">
        <is>
          <t>CUST-1030</t>
        </is>
      </c>
      <c r="E67" s="5" t="inlineStr">
        <is>
          <t>呂建德</t>
        </is>
      </c>
      <c r="F67" s="4" t="inlineStr">
        <is>
          <t>肉品</t>
        </is>
      </c>
      <c r="G67" s="4" t="inlineStr">
        <is>
          <t>MEA-01</t>
        </is>
      </c>
      <c r="H67" s="5" t="inlineStr">
        <is>
          <t>經典台式三杯雞</t>
        </is>
      </c>
      <c r="I67" s="6" t="n">
        <v>1</v>
      </c>
      <c r="J67" s="7" t="n">
        <v>240</v>
      </c>
      <c r="K67" s="7">
        <f>I67*J67</f>
        <v/>
      </c>
    </row>
    <row r="68">
      <c r="A68" s="8" t="n">
        <v>64</v>
      </c>
      <c r="B68" s="8" t="inlineStr">
        <is>
          <t>ORD-20260316</t>
        </is>
      </c>
      <c r="C68" s="8" t="inlineStr">
        <is>
          <t>2026-09-08</t>
        </is>
      </c>
      <c r="D68" s="8" t="inlineStr">
        <is>
          <t>CUST-1030</t>
        </is>
      </c>
      <c r="E68" s="9" t="inlineStr">
        <is>
          <t>呂建德</t>
        </is>
      </c>
      <c r="F68" s="8" t="inlineStr">
        <is>
          <t>蔬菜</t>
        </is>
      </c>
      <c r="G68" s="8" t="inlineStr">
        <is>
          <t>VEG-02</t>
        </is>
      </c>
      <c r="H68" s="9" t="inlineStr">
        <is>
          <t>櫻花蝦炒高麗菜</t>
        </is>
      </c>
      <c r="I68" s="10" t="n">
        <v>2</v>
      </c>
      <c r="J68" s="11" t="n">
        <v>150</v>
      </c>
      <c r="K68" s="11">
        <f>I68*J68</f>
        <v/>
      </c>
    </row>
    <row r="69">
      <c r="A69" s="4" t="n">
        <v>65</v>
      </c>
      <c r="B69" s="4" t="inlineStr">
        <is>
          <t>ORD-20260032</t>
        </is>
      </c>
      <c r="C69" s="4" t="inlineStr">
        <is>
          <t>2026-09-09</t>
        </is>
      </c>
      <c r="D69" s="4" t="inlineStr">
        <is>
          <t>CUST-1033</t>
        </is>
      </c>
      <c r="E69" s="5" t="inlineStr">
        <is>
          <t>元大設計工作室</t>
        </is>
      </c>
      <c r="F69" s="4" t="inlineStr">
        <is>
          <t>湯品</t>
        </is>
      </c>
      <c r="G69" s="4" t="inlineStr">
        <is>
          <t>SOU-03</t>
        </is>
      </c>
      <c r="H69" s="5" t="inlineStr">
        <is>
          <t>鮮魚味噌豆腐湯</t>
        </is>
      </c>
      <c r="I69" s="6" t="n">
        <v>1</v>
      </c>
      <c r="J69" s="7" t="n">
        <v>160</v>
      </c>
      <c r="K69" s="7">
        <f>I69*J69</f>
        <v/>
      </c>
    </row>
    <row r="70">
      <c r="A70" s="8" t="n">
        <v>66</v>
      </c>
      <c r="B70" s="8" t="inlineStr">
        <is>
          <t>ORD-20260095</t>
        </is>
      </c>
      <c r="C70" s="8" t="inlineStr">
        <is>
          <t>2026-09-09</t>
        </is>
      </c>
      <c r="D70" s="8" t="inlineStr">
        <is>
          <t>CUST-1017</t>
        </is>
      </c>
      <c r="E70" s="9" t="inlineStr">
        <is>
          <t>廖健民</t>
        </is>
      </c>
      <c r="F70" s="8" t="inlineStr">
        <is>
          <t>肉品</t>
        </is>
      </c>
      <c r="G70" s="8" t="inlineStr">
        <is>
          <t>MEA-01</t>
        </is>
      </c>
      <c r="H70" s="9" t="inlineStr">
        <is>
          <t>經典台式三杯雞</t>
        </is>
      </c>
      <c r="I70" s="10" t="n">
        <v>1</v>
      </c>
      <c r="J70" s="11" t="n">
        <v>240</v>
      </c>
      <c r="K70" s="11">
        <f>I70*J70</f>
        <v/>
      </c>
    </row>
    <row r="71">
      <c r="A71" s="4" t="n">
        <v>67</v>
      </c>
      <c r="B71" s="4" t="inlineStr">
        <is>
          <t>ORD-20260214</t>
        </is>
      </c>
      <c r="C71" s="4" t="inlineStr">
        <is>
          <t>2026-09-09</t>
        </is>
      </c>
      <c r="D71" s="4" t="inlineStr">
        <is>
          <t>CUST-1018</t>
        </is>
      </c>
      <c r="E71" s="5" t="inlineStr">
        <is>
          <t>邱柏翰</t>
        </is>
      </c>
      <c r="F71" s="4" t="inlineStr">
        <is>
          <t>冷盤</t>
        </is>
      </c>
      <c r="G71" s="4" t="inlineStr">
        <is>
          <t>APP-03</t>
        </is>
      </c>
      <c r="H71" s="5" t="inlineStr">
        <is>
          <t>紹興醉雞卷</t>
        </is>
      </c>
      <c r="I71" s="6" t="n">
        <v>1</v>
      </c>
      <c r="J71" s="7" t="n">
        <v>210</v>
      </c>
      <c r="K71" s="7">
        <f>I71*J71</f>
        <v/>
      </c>
    </row>
    <row r="72">
      <c r="A72" s="8" t="n">
        <v>68</v>
      </c>
      <c r="B72" s="8" t="inlineStr">
        <is>
          <t>ORD-20260265</t>
        </is>
      </c>
      <c r="C72" s="8" t="inlineStr">
        <is>
          <t>2026-09-09</t>
        </is>
      </c>
      <c r="D72" s="8" t="inlineStr">
        <is>
          <t>CUST-1005</t>
        </is>
      </c>
      <c r="E72" s="9" t="inlineStr">
        <is>
          <t>李雅婷</t>
        </is>
      </c>
      <c r="F72" s="8" t="inlineStr">
        <is>
          <t>海鮮</t>
        </is>
      </c>
      <c r="G72" s="8" t="inlineStr">
        <is>
          <t>SEA-03</t>
        </is>
      </c>
      <c r="H72" s="9" t="inlineStr">
        <is>
          <t>塔香炒蛤蜊</t>
        </is>
      </c>
      <c r="I72" s="10" t="n">
        <v>4</v>
      </c>
      <c r="J72" s="11" t="n">
        <v>190</v>
      </c>
      <c r="K72" s="11">
        <f>I72*J72</f>
        <v/>
      </c>
    </row>
    <row r="73">
      <c r="A73" s="4" t="n">
        <v>69</v>
      </c>
      <c r="B73" s="4" t="inlineStr">
        <is>
          <t>ORD-20260308</t>
        </is>
      </c>
      <c r="C73" s="4" t="inlineStr">
        <is>
          <t>2026-09-09</t>
        </is>
      </c>
      <c r="D73" s="4" t="inlineStr">
        <is>
          <t>CUST-1006</t>
        </is>
      </c>
      <c r="E73" s="5" t="inlineStr">
        <is>
          <t>王俊傑</t>
        </is>
      </c>
      <c r="F73" s="4" t="inlineStr">
        <is>
          <t>海鮮</t>
        </is>
      </c>
      <c r="G73" s="4" t="inlineStr">
        <is>
          <t>SEA-04</t>
        </is>
      </c>
      <c r="H73" s="5" t="inlineStr">
        <is>
          <t>金沙中卷</t>
        </is>
      </c>
      <c r="I73" s="6" t="n">
        <v>2</v>
      </c>
      <c r="J73" s="7" t="n">
        <v>230</v>
      </c>
      <c r="K73" s="7">
        <f>I73*J73</f>
        <v/>
      </c>
    </row>
    <row r="74">
      <c r="A74" s="8" t="n">
        <v>70</v>
      </c>
      <c r="B74" s="8" t="inlineStr">
        <is>
          <t>ORD-20260106</t>
        </is>
      </c>
      <c r="C74" s="8" t="inlineStr">
        <is>
          <t>2026-09-10</t>
        </is>
      </c>
      <c r="D74" s="8" t="inlineStr">
        <is>
          <t>CUST-1028</t>
        </is>
      </c>
      <c r="E74" s="9" t="inlineStr">
        <is>
          <t>蘇志強</t>
        </is>
      </c>
      <c r="F74" s="8" t="inlineStr">
        <is>
          <t>肉品</t>
        </is>
      </c>
      <c r="G74" s="8" t="inlineStr">
        <is>
          <t>MEA-02</t>
        </is>
      </c>
      <c r="H74" s="9" t="inlineStr">
        <is>
          <t>阿嬤紅燒肉</t>
        </is>
      </c>
      <c r="I74" s="10" t="n">
        <v>1</v>
      </c>
      <c r="J74" s="11" t="n">
        <v>220</v>
      </c>
      <c r="K74" s="11">
        <f>I74*J74</f>
        <v/>
      </c>
    </row>
    <row r="75">
      <c r="A75" s="4" t="n">
        <v>71</v>
      </c>
      <c r="B75" s="4" t="inlineStr">
        <is>
          <t>ORD-20260143</t>
        </is>
      </c>
      <c r="C75" s="4" t="inlineStr">
        <is>
          <t>2026-09-10</t>
        </is>
      </c>
      <c r="D75" s="4" t="inlineStr">
        <is>
          <t>CUST-1042</t>
        </is>
      </c>
      <c r="E75" s="5" t="inlineStr">
        <is>
          <t>簡銘成</t>
        </is>
      </c>
      <c r="F75" s="4" t="inlineStr">
        <is>
          <t>飲品</t>
        </is>
      </c>
      <c r="G75" s="4" t="inlineStr">
        <is>
          <t>DRK-04</t>
        </is>
      </c>
      <c r="H75" s="5" t="inlineStr">
        <is>
          <t>特調酸梅湯</t>
        </is>
      </c>
      <c r="I75" s="6" t="n">
        <v>1</v>
      </c>
      <c r="J75" s="7" t="n">
        <v>80</v>
      </c>
      <c r="K75" s="7">
        <f>I75*J75</f>
        <v/>
      </c>
    </row>
    <row r="76">
      <c r="A76" s="8" t="n">
        <v>72</v>
      </c>
      <c r="B76" s="8" t="inlineStr">
        <is>
          <t>ORD-20260221</t>
        </is>
      </c>
      <c r="C76" s="8" t="inlineStr">
        <is>
          <t>2026-09-10</t>
        </is>
      </c>
      <c r="D76" s="8" t="inlineStr">
        <is>
          <t>CUST-1010</t>
        </is>
      </c>
      <c r="E76" s="9" t="inlineStr">
        <is>
          <t>楊宗翰</t>
        </is>
      </c>
      <c r="F76" s="8" t="inlineStr">
        <is>
          <t>主食</t>
        </is>
      </c>
      <c r="G76" s="8" t="inlineStr">
        <is>
          <t>STA-02</t>
        </is>
      </c>
      <c r="H76" s="9" t="inlineStr">
        <is>
          <t>台式肉絲炒麵</t>
        </is>
      </c>
      <c r="I76" s="10" t="n">
        <v>2</v>
      </c>
      <c r="J76" s="11" t="n">
        <v>110</v>
      </c>
      <c r="K76" s="11">
        <f>I76*J76</f>
        <v/>
      </c>
    </row>
    <row r="77">
      <c r="A77" s="4" t="n">
        <v>73</v>
      </c>
      <c r="B77" s="4" t="inlineStr">
        <is>
          <t>ORD-20260235</t>
        </is>
      </c>
      <c r="C77" s="4" t="inlineStr">
        <is>
          <t>2026-09-10</t>
        </is>
      </c>
      <c r="D77" s="4" t="inlineStr">
        <is>
          <t>CUST-1018</t>
        </is>
      </c>
      <c r="E77" s="5" t="inlineStr">
        <is>
          <t>邱柏翰</t>
        </is>
      </c>
      <c r="F77" s="4" t="inlineStr">
        <is>
          <t>肉品</t>
        </is>
      </c>
      <c r="G77" s="4" t="inlineStr">
        <is>
          <t>MEA-03</t>
        </is>
      </c>
      <c r="H77" s="5" t="inlineStr">
        <is>
          <t>客家小炒</t>
        </is>
      </c>
      <c r="I77" s="6" t="n">
        <v>1</v>
      </c>
      <c r="J77" s="7" t="n">
        <v>190</v>
      </c>
      <c r="K77" s="7">
        <f>I77*J77</f>
        <v/>
      </c>
    </row>
    <row r="78">
      <c r="A78" s="8" t="n">
        <v>74</v>
      </c>
      <c r="B78" s="8" t="inlineStr">
        <is>
          <t>ORD-20260268</t>
        </is>
      </c>
      <c r="C78" s="8" t="inlineStr">
        <is>
          <t>2026-09-10</t>
        </is>
      </c>
      <c r="D78" s="8" t="inlineStr">
        <is>
          <t>CUST-1029</t>
        </is>
      </c>
      <c r="E78" s="9" t="inlineStr">
        <is>
          <t>莊佩珊</t>
        </is>
      </c>
      <c r="F78" s="8" t="inlineStr">
        <is>
          <t>湯品</t>
        </is>
      </c>
      <c r="G78" s="8" t="inlineStr">
        <is>
          <t>SOU-06</t>
        </is>
      </c>
      <c r="H78" s="9" t="inlineStr">
        <is>
          <t>貢丸蘿蔔排骨湯</t>
        </is>
      </c>
      <c r="I78" s="10" t="n">
        <v>6</v>
      </c>
      <c r="J78" s="11" t="n">
        <v>120</v>
      </c>
      <c r="K78" s="11">
        <f>I78*J78</f>
        <v/>
      </c>
    </row>
    <row r="79">
      <c r="A79" s="4" t="n">
        <v>75</v>
      </c>
      <c r="B79" s="4" t="inlineStr">
        <is>
          <t>ORD-20260277</t>
        </is>
      </c>
      <c r="C79" s="4" t="inlineStr">
        <is>
          <t>2026-09-10</t>
        </is>
      </c>
      <c r="D79" s="4" t="inlineStr">
        <is>
          <t>CUST-1027</t>
        </is>
      </c>
      <c r="E79" s="5" t="inlineStr">
        <is>
          <t>羅雅惠</t>
        </is>
      </c>
      <c r="F79" s="4" t="inlineStr">
        <is>
          <t>飲品</t>
        </is>
      </c>
      <c r="G79" s="4" t="inlineStr">
        <is>
          <t>DRK-01</t>
        </is>
      </c>
      <c r="H79" s="5" t="inlineStr">
        <is>
          <t>古早味冬瓜檸檬</t>
        </is>
      </c>
      <c r="I79" s="6" t="n">
        <v>1</v>
      </c>
      <c r="J79" s="7" t="n">
        <v>80</v>
      </c>
      <c r="K79" s="7">
        <f>I79*J79</f>
        <v/>
      </c>
    </row>
    <row r="80">
      <c r="A80" s="8" t="n">
        <v>76</v>
      </c>
      <c r="B80" s="8" t="inlineStr">
        <is>
          <t>ORD-20260289</t>
        </is>
      </c>
      <c r="C80" s="8" t="inlineStr">
        <is>
          <t>2026-09-10</t>
        </is>
      </c>
      <c r="D80" s="8" t="inlineStr">
        <is>
          <t>CUST-1016</t>
        </is>
      </c>
      <c r="E80" s="9" t="inlineStr">
        <is>
          <t>曾美慧</t>
        </is>
      </c>
      <c r="F80" s="8" t="inlineStr">
        <is>
          <t>湯品</t>
        </is>
      </c>
      <c r="G80" s="8" t="inlineStr">
        <is>
          <t>SOU-05</t>
        </is>
      </c>
      <c r="H80" s="9" t="inlineStr">
        <is>
          <t>古早味西魯肉湯</t>
        </is>
      </c>
      <c r="I80" s="10" t="n">
        <v>4</v>
      </c>
      <c r="J80" s="11" t="n">
        <v>190</v>
      </c>
      <c r="K80" s="11">
        <f>I80*J80</f>
        <v/>
      </c>
    </row>
    <row r="81">
      <c r="A81" s="4" t="n">
        <v>77</v>
      </c>
      <c r="B81" s="4" t="inlineStr">
        <is>
          <t>ORD-20260019</t>
        </is>
      </c>
      <c r="C81" s="4" t="inlineStr">
        <is>
          <t>2026-09-11</t>
        </is>
      </c>
      <c r="D81" s="4" t="inlineStr">
        <is>
          <t>CUST-1024</t>
        </is>
      </c>
      <c r="E81" s="5" t="inlineStr">
        <is>
          <t>高銘賢</t>
        </is>
      </c>
      <c r="F81" s="4" t="inlineStr">
        <is>
          <t>蔬菜</t>
        </is>
      </c>
      <c r="G81" s="4" t="inlineStr">
        <is>
          <t>VEG-01</t>
        </is>
      </c>
      <c r="H81" s="5" t="inlineStr">
        <is>
          <t>清炒高麗菜</t>
        </is>
      </c>
      <c r="I81" s="6" t="n">
        <v>1</v>
      </c>
      <c r="J81" s="7" t="n">
        <v>110</v>
      </c>
      <c r="K81" s="7">
        <f>I81*J81</f>
        <v/>
      </c>
    </row>
    <row r="82">
      <c r="A82" s="8" t="n">
        <v>78</v>
      </c>
      <c r="B82" s="8" t="inlineStr">
        <is>
          <t>ORD-20260043</t>
        </is>
      </c>
      <c r="C82" s="8" t="inlineStr">
        <is>
          <t>2026-09-11</t>
        </is>
      </c>
      <c r="D82" s="8" t="inlineStr">
        <is>
          <t>CUST-1035</t>
        </is>
      </c>
      <c r="E82" s="9" t="inlineStr">
        <is>
          <t>台塑顧問公司</t>
        </is>
      </c>
      <c r="F82" s="8" t="inlineStr">
        <is>
          <t>湯品</t>
        </is>
      </c>
      <c r="G82" s="8" t="inlineStr">
        <is>
          <t>SOU-05</t>
        </is>
      </c>
      <c r="H82" s="9" t="inlineStr">
        <is>
          <t>古早味西魯肉湯</t>
        </is>
      </c>
      <c r="I82" s="10" t="n">
        <v>1</v>
      </c>
      <c r="J82" s="11" t="n">
        <v>190</v>
      </c>
      <c r="K82" s="11">
        <f>I82*J82</f>
        <v/>
      </c>
    </row>
    <row r="83">
      <c r="A83" s="4" t="n">
        <v>79</v>
      </c>
      <c r="B83" s="4" t="inlineStr">
        <is>
          <t>ORD-20260111</t>
        </is>
      </c>
      <c r="C83" s="4" t="inlineStr">
        <is>
          <t>2026-09-11</t>
        </is>
      </c>
      <c r="D83" s="4" t="inlineStr">
        <is>
          <t>CUST-1012</t>
        </is>
      </c>
      <c r="E83" s="5" t="inlineStr">
        <is>
          <t>鄭雅雯</t>
        </is>
      </c>
      <c r="F83" s="4" t="inlineStr">
        <is>
          <t>蔬菜</t>
        </is>
      </c>
      <c r="G83" s="4" t="inlineStr">
        <is>
          <t>VEG-05</t>
        </is>
      </c>
      <c r="H83" s="5" t="inlineStr">
        <is>
          <t>鹹蛋苦瓜</t>
        </is>
      </c>
      <c r="I83" s="6" t="n">
        <v>1</v>
      </c>
      <c r="J83" s="7" t="n">
        <v>160</v>
      </c>
      <c r="K83" s="7">
        <f>I83*J83</f>
        <v/>
      </c>
    </row>
    <row r="84">
      <c r="A84" s="8" t="n">
        <v>80</v>
      </c>
      <c r="B84" s="8" t="inlineStr">
        <is>
          <t>ORD-20260166</t>
        </is>
      </c>
      <c r="C84" s="8" t="inlineStr">
        <is>
          <t>2026-09-11</t>
        </is>
      </c>
      <c r="D84" s="8" t="inlineStr">
        <is>
          <t>CUST-1030</t>
        </is>
      </c>
      <c r="E84" s="9" t="inlineStr">
        <is>
          <t>呂建德</t>
        </is>
      </c>
      <c r="F84" s="8" t="inlineStr">
        <is>
          <t>肉品</t>
        </is>
      </c>
      <c r="G84" s="8" t="inlineStr">
        <is>
          <t>MEA-02</t>
        </is>
      </c>
      <c r="H84" s="9" t="inlineStr">
        <is>
          <t>阿嬤紅燒肉</t>
        </is>
      </c>
      <c r="I84" s="10" t="n">
        <v>10</v>
      </c>
      <c r="J84" s="11" t="n">
        <v>220</v>
      </c>
      <c r="K84" s="11">
        <f>I84*J84</f>
        <v/>
      </c>
    </row>
    <row r="85">
      <c r="A85" s="4" t="n">
        <v>81</v>
      </c>
      <c r="B85" s="4" t="inlineStr">
        <is>
          <t>ORD-20260180</t>
        </is>
      </c>
      <c r="C85" s="4" t="inlineStr">
        <is>
          <t>2026-09-11</t>
        </is>
      </c>
      <c r="D85" s="4" t="inlineStr">
        <is>
          <t>CUST-1020</t>
        </is>
      </c>
      <c r="E85" s="5" t="inlineStr">
        <is>
          <t>周玉蓮</t>
        </is>
      </c>
      <c r="F85" s="4" t="inlineStr">
        <is>
          <t>冷盤</t>
        </is>
      </c>
      <c r="G85" s="4" t="inlineStr">
        <is>
          <t>APP-07</t>
        </is>
      </c>
      <c r="H85" s="5" t="inlineStr">
        <is>
          <t>煙燻粉肝</t>
        </is>
      </c>
      <c r="I85" s="6" t="n">
        <v>1</v>
      </c>
      <c r="J85" s="7" t="n">
        <v>120</v>
      </c>
      <c r="K85" s="7">
        <f>I85*J85</f>
        <v/>
      </c>
    </row>
    <row r="86">
      <c r="A86" s="8" t="n">
        <v>82</v>
      </c>
      <c r="B86" s="8" t="inlineStr">
        <is>
          <t>ORD-20260247</t>
        </is>
      </c>
      <c r="C86" s="8" t="inlineStr">
        <is>
          <t>2026-09-11</t>
        </is>
      </c>
      <c r="D86" s="8" t="inlineStr">
        <is>
          <t>CUST-1022</t>
        </is>
      </c>
      <c r="E86" s="9" t="inlineStr">
        <is>
          <t>孫宇軒</t>
        </is>
      </c>
      <c r="F86" s="8" t="inlineStr">
        <is>
          <t>蔬菜</t>
        </is>
      </c>
      <c r="G86" s="8" t="inlineStr">
        <is>
          <t>VEG-05</t>
        </is>
      </c>
      <c r="H86" s="9" t="inlineStr">
        <is>
          <t>鹹蛋苦瓜</t>
        </is>
      </c>
      <c r="I86" s="10" t="n">
        <v>6</v>
      </c>
      <c r="J86" s="11" t="n">
        <v>160</v>
      </c>
      <c r="K86" s="11">
        <f>I86*J86</f>
        <v/>
      </c>
    </row>
    <row r="87">
      <c r="A87" s="4" t="n">
        <v>83</v>
      </c>
      <c r="B87" s="4" t="inlineStr">
        <is>
          <t>ORD-20260258</t>
        </is>
      </c>
      <c r="C87" s="4" t="inlineStr">
        <is>
          <t>2026-09-11</t>
        </is>
      </c>
      <c r="D87" s="4" t="inlineStr">
        <is>
          <t>CUST-1020</t>
        </is>
      </c>
      <c r="E87" s="5" t="inlineStr">
        <is>
          <t>周玉蓮</t>
        </is>
      </c>
      <c r="F87" s="4" t="inlineStr">
        <is>
          <t>主食</t>
        </is>
      </c>
      <c r="G87" s="4" t="inlineStr">
        <is>
          <t>STA-01</t>
        </is>
      </c>
      <c r="H87" s="5" t="inlineStr">
        <is>
          <t>台式古早味炒米粉</t>
        </is>
      </c>
      <c r="I87" s="6" t="n">
        <v>1</v>
      </c>
      <c r="J87" s="7" t="n">
        <v>120</v>
      </c>
      <c r="K87" s="7">
        <f>I87*J87</f>
        <v/>
      </c>
    </row>
    <row r="88">
      <c r="A88" s="8" t="n">
        <v>84</v>
      </c>
      <c r="B88" s="8" t="inlineStr">
        <is>
          <t>ORD-20260296</t>
        </is>
      </c>
      <c r="C88" s="8" t="inlineStr">
        <is>
          <t>2026-09-11</t>
        </is>
      </c>
      <c r="D88" s="8" t="inlineStr">
        <is>
          <t>CUST-1005</t>
        </is>
      </c>
      <c r="E88" s="9" t="inlineStr">
        <is>
          <t>李雅婷</t>
        </is>
      </c>
      <c r="F88" s="8" t="inlineStr">
        <is>
          <t>蔬菜</t>
        </is>
      </c>
      <c r="G88" s="8" t="inlineStr">
        <is>
          <t>VEG-07</t>
        </is>
      </c>
      <c r="H88" s="9" t="inlineStr">
        <is>
          <t>開陽白菜滷</t>
        </is>
      </c>
      <c r="I88" s="10" t="n">
        <v>3</v>
      </c>
      <c r="J88" s="11" t="n">
        <v>130</v>
      </c>
      <c r="K88" s="11">
        <f>I88*J88</f>
        <v/>
      </c>
    </row>
    <row r="89">
      <c r="A89" s="4" t="n">
        <v>85</v>
      </c>
      <c r="B89" s="4" t="inlineStr">
        <is>
          <t>ORD-20260068</t>
        </is>
      </c>
      <c r="C89" s="4" t="inlineStr">
        <is>
          <t>2026-09-12</t>
        </is>
      </c>
      <c r="D89" s="4" t="inlineStr">
        <is>
          <t>CUST-1018</t>
        </is>
      </c>
      <c r="E89" s="5" t="inlineStr">
        <is>
          <t>邱柏翰</t>
        </is>
      </c>
      <c r="F89" s="4" t="inlineStr">
        <is>
          <t>湯品</t>
        </is>
      </c>
      <c r="G89" s="4" t="inlineStr">
        <is>
          <t>SOU-01</t>
        </is>
      </c>
      <c r="H89" s="5" t="inlineStr">
        <is>
          <t>剝皮辣椒雞湯</t>
        </is>
      </c>
      <c r="I89" s="6" t="n">
        <v>1</v>
      </c>
      <c r="J89" s="7" t="n">
        <v>220</v>
      </c>
      <c r="K89" s="7">
        <f>I89*J89</f>
        <v/>
      </c>
    </row>
    <row r="90">
      <c r="A90" s="8" t="n">
        <v>86</v>
      </c>
      <c r="B90" s="8" t="inlineStr">
        <is>
          <t>ORD-20260112</t>
        </is>
      </c>
      <c r="C90" s="8" t="inlineStr">
        <is>
          <t>2026-09-12</t>
        </is>
      </c>
      <c r="D90" s="8" t="inlineStr">
        <is>
          <t>CUST-1048</t>
        </is>
      </c>
      <c r="E90" s="9" t="inlineStr">
        <is>
          <t>顏立威</t>
        </is>
      </c>
      <c r="F90" s="8" t="inlineStr">
        <is>
          <t>海鮮</t>
        </is>
      </c>
      <c r="G90" s="8" t="inlineStr">
        <is>
          <t>SEA-07</t>
        </is>
      </c>
      <c r="H90" s="9" t="inlineStr">
        <is>
          <t>生炒花枝</t>
        </is>
      </c>
      <c r="I90" s="10" t="n">
        <v>4</v>
      </c>
      <c r="J90" s="11" t="n">
        <v>200</v>
      </c>
      <c r="K90" s="11">
        <f>I90*J90</f>
        <v/>
      </c>
    </row>
    <row r="91">
      <c r="A91" s="4" t="n">
        <v>87</v>
      </c>
      <c r="B91" s="4" t="inlineStr">
        <is>
          <t>ORD-20260145</t>
        </is>
      </c>
      <c r="C91" s="4" t="inlineStr">
        <is>
          <t>2026-09-12</t>
        </is>
      </c>
      <c r="D91" s="4" t="inlineStr">
        <is>
          <t>CUST-1045</t>
        </is>
      </c>
      <c r="E91" s="5" t="inlineStr">
        <is>
          <t>翁淑真</t>
        </is>
      </c>
      <c r="F91" s="4" t="inlineStr">
        <is>
          <t>湯品</t>
        </is>
      </c>
      <c r="G91" s="4" t="inlineStr">
        <is>
          <t>SOU-05</t>
        </is>
      </c>
      <c r="H91" s="5" t="inlineStr">
        <is>
          <t>古早味西魯肉湯</t>
        </is>
      </c>
      <c r="I91" s="6" t="n">
        <v>5</v>
      </c>
      <c r="J91" s="7" t="n">
        <v>190</v>
      </c>
      <c r="K91" s="7">
        <f>I91*J91</f>
        <v/>
      </c>
    </row>
    <row r="92">
      <c r="A92" s="8" t="n">
        <v>88</v>
      </c>
      <c r="B92" s="8" t="inlineStr">
        <is>
          <t>ORD-20260196</t>
        </is>
      </c>
      <c r="C92" s="8" t="inlineStr">
        <is>
          <t>2026-09-12</t>
        </is>
      </c>
      <c r="D92" s="8" t="inlineStr">
        <is>
          <t>CUST-1032</t>
        </is>
      </c>
      <c r="E92" s="9" t="inlineStr">
        <is>
          <t>國泰聯合事務所</t>
        </is>
      </c>
      <c r="F92" s="8" t="inlineStr">
        <is>
          <t>肉品</t>
        </is>
      </c>
      <c r="G92" s="8" t="inlineStr">
        <is>
          <t>MEA-07</t>
        </is>
      </c>
      <c r="H92" s="9" t="inlineStr">
        <is>
          <t>薑絲炒大腸</t>
        </is>
      </c>
      <c r="I92" s="10" t="n">
        <v>3</v>
      </c>
      <c r="J92" s="11" t="n">
        <v>210</v>
      </c>
      <c r="K92" s="11">
        <f>I92*J92</f>
        <v/>
      </c>
    </row>
    <row r="93">
      <c r="A93" s="4" t="n">
        <v>89</v>
      </c>
      <c r="B93" s="4" t="inlineStr">
        <is>
          <t>ORD-20260209</t>
        </is>
      </c>
      <c r="C93" s="4" t="inlineStr">
        <is>
          <t>2026-09-12</t>
        </is>
      </c>
      <c r="D93" s="4" t="inlineStr">
        <is>
          <t>CUST-1013</t>
        </is>
      </c>
      <c r="E93" s="5" t="inlineStr">
        <is>
          <t>謝佳蓉</t>
        </is>
      </c>
      <c r="F93" s="4" t="inlineStr">
        <is>
          <t>肉品</t>
        </is>
      </c>
      <c r="G93" s="4" t="inlineStr">
        <is>
          <t>MEA-07</t>
        </is>
      </c>
      <c r="H93" s="5" t="inlineStr">
        <is>
          <t>薑絲炒大腸</t>
        </is>
      </c>
      <c r="I93" s="6" t="n">
        <v>6</v>
      </c>
      <c r="J93" s="7" t="n">
        <v>210</v>
      </c>
      <c r="K93" s="7">
        <f>I93*J93</f>
        <v/>
      </c>
    </row>
    <row r="94">
      <c r="A94" s="8" t="n">
        <v>90</v>
      </c>
      <c r="B94" s="8" t="inlineStr">
        <is>
          <t>ORD-20260218</t>
        </is>
      </c>
      <c r="C94" s="8" t="inlineStr">
        <is>
          <t>2026-09-12</t>
        </is>
      </c>
      <c r="D94" s="8" t="inlineStr">
        <is>
          <t>CUST-1004</t>
        </is>
      </c>
      <c r="E94" s="9" t="inlineStr">
        <is>
          <t>黃家豪</t>
        </is>
      </c>
      <c r="F94" s="8" t="inlineStr">
        <is>
          <t>海鮮</t>
        </is>
      </c>
      <c r="G94" s="8" t="inlineStr">
        <is>
          <t>SEA-02</t>
        </is>
      </c>
      <c r="H94" s="9" t="inlineStr">
        <is>
          <t>豆酥鱈魚</t>
        </is>
      </c>
      <c r="I94" s="10" t="n">
        <v>6</v>
      </c>
      <c r="J94" s="11" t="n">
        <v>240</v>
      </c>
      <c r="K94" s="11">
        <f>I94*J94</f>
        <v/>
      </c>
    </row>
    <row r="95">
      <c r="A95" s="4" t="n">
        <v>91</v>
      </c>
      <c r="B95" s="4" t="inlineStr">
        <is>
          <t>ORD-20260291</t>
        </is>
      </c>
      <c r="C95" s="4" t="inlineStr">
        <is>
          <t>2026-09-12</t>
        </is>
      </c>
      <c r="D95" s="4" t="inlineStr">
        <is>
          <t>CUST-1006</t>
        </is>
      </c>
      <c r="E95" s="5" t="inlineStr">
        <is>
          <t>王俊傑</t>
        </is>
      </c>
      <c r="F95" s="4" t="inlineStr">
        <is>
          <t>主食</t>
        </is>
      </c>
      <c r="G95" s="4" t="inlineStr">
        <is>
          <t>STA-05</t>
        </is>
      </c>
      <c r="H95" s="5" t="inlineStr">
        <is>
          <t>招牌古早味滷肉飯(大)</t>
        </is>
      </c>
      <c r="I95" s="6" t="n">
        <v>3</v>
      </c>
      <c r="J95" s="7" t="n">
        <v>80</v>
      </c>
      <c r="K95" s="7">
        <f>I95*J95</f>
        <v/>
      </c>
    </row>
    <row r="96">
      <c r="A96" s="8" t="n">
        <v>92</v>
      </c>
      <c r="B96" s="8" t="inlineStr">
        <is>
          <t>ORD-20260006</t>
        </is>
      </c>
      <c r="C96" s="8" t="inlineStr">
        <is>
          <t>2026-09-13</t>
        </is>
      </c>
      <c r="D96" s="8" t="inlineStr">
        <is>
          <t>CUST-1046</t>
        </is>
      </c>
      <c r="E96" s="9" t="inlineStr">
        <is>
          <t>戴育德</t>
        </is>
      </c>
      <c r="F96" s="8" t="inlineStr">
        <is>
          <t>飲品</t>
        </is>
      </c>
      <c r="G96" s="8" t="inlineStr">
        <is>
          <t>DRK-01</t>
        </is>
      </c>
      <c r="H96" s="9" t="inlineStr">
        <is>
          <t>古早味冬瓜檸檬</t>
        </is>
      </c>
      <c r="I96" s="10" t="n">
        <v>10</v>
      </c>
      <c r="J96" s="11" t="n">
        <v>80</v>
      </c>
      <c r="K96" s="11">
        <f>I96*J96</f>
        <v/>
      </c>
    </row>
    <row r="97">
      <c r="A97" s="4" t="n">
        <v>93</v>
      </c>
      <c r="B97" s="4" t="inlineStr">
        <is>
          <t>ORD-20260115</t>
        </is>
      </c>
      <c r="C97" s="4" t="inlineStr">
        <is>
          <t>2026-09-13</t>
        </is>
      </c>
      <c r="D97" s="4" t="inlineStr">
        <is>
          <t>CUST-1030</t>
        </is>
      </c>
      <c r="E97" s="5" t="inlineStr">
        <is>
          <t>呂建德</t>
        </is>
      </c>
      <c r="F97" s="4" t="inlineStr">
        <is>
          <t>蔬菜</t>
        </is>
      </c>
      <c r="G97" s="4" t="inlineStr">
        <is>
          <t>VEG-01</t>
        </is>
      </c>
      <c r="H97" s="5" t="inlineStr">
        <is>
          <t>清炒高麗菜</t>
        </is>
      </c>
      <c r="I97" s="6" t="n">
        <v>2</v>
      </c>
      <c r="J97" s="7" t="n">
        <v>110</v>
      </c>
      <c r="K97" s="7">
        <f>I97*J97</f>
        <v/>
      </c>
    </row>
    <row r="98">
      <c r="A98" s="8" t="n">
        <v>94</v>
      </c>
      <c r="B98" s="8" t="inlineStr">
        <is>
          <t>ORD-20260176</t>
        </is>
      </c>
      <c r="C98" s="8" t="inlineStr">
        <is>
          <t>2026-09-13</t>
        </is>
      </c>
      <c r="D98" s="8" t="inlineStr">
        <is>
          <t>CUST-1002</t>
        </is>
      </c>
      <c r="E98" s="9" t="inlineStr">
        <is>
          <t>林志明</t>
        </is>
      </c>
      <c r="F98" s="8" t="inlineStr">
        <is>
          <t>主食</t>
        </is>
      </c>
      <c r="G98" s="8" t="inlineStr">
        <is>
          <t>STA-05</t>
        </is>
      </c>
      <c r="H98" s="9" t="inlineStr">
        <is>
          <t>招牌古早味滷肉飯(大)</t>
        </is>
      </c>
      <c r="I98" s="10" t="n">
        <v>1</v>
      </c>
      <c r="J98" s="11" t="n">
        <v>80</v>
      </c>
      <c r="K98" s="11">
        <f>I98*J98</f>
        <v/>
      </c>
    </row>
    <row r="99">
      <c r="A99" s="4" t="n">
        <v>95</v>
      </c>
      <c r="B99" s="4" t="inlineStr">
        <is>
          <t>ORD-20260208</t>
        </is>
      </c>
      <c r="C99" s="4" t="inlineStr">
        <is>
          <t>2026-09-13</t>
        </is>
      </c>
      <c r="D99" s="4" t="inlineStr">
        <is>
          <t>CUST-1021</t>
        </is>
      </c>
      <c r="E99" s="5" t="inlineStr">
        <is>
          <t>徐世榮</t>
        </is>
      </c>
      <c r="F99" s="4" t="inlineStr">
        <is>
          <t>肉品</t>
        </is>
      </c>
      <c r="G99" s="4" t="inlineStr">
        <is>
          <t>MEA-01</t>
        </is>
      </c>
      <c r="H99" s="5" t="inlineStr">
        <is>
          <t>經典台式三杯雞</t>
        </is>
      </c>
      <c r="I99" s="6" t="n">
        <v>10</v>
      </c>
      <c r="J99" s="7" t="n">
        <v>240</v>
      </c>
      <c r="K99" s="7">
        <f>I99*J99</f>
        <v/>
      </c>
    </row>
    <row r="100">
      <c r="A100" s="8" t="n">
        <v>96</v>
      </c>
      <c r="B100" s="8" t="inlineStr">
        <is>
          <t>ORD-20260305</t>
        </is>
      </c>
      <c r="C100" s="8" t="inlineStr">
        <is>
          <t>2026-09-13</t>
        </is>
      </c>
      <c r="D100" s="8" t="inlineStr">
        <is>
          <t>CUST-1040</t>
        </is>
      </c>
      <c r="E100" s="9" t="inlineStr">
        <is>
          <t>微星多媒體室</t>
        </is>
      </c>
      <c r="F100" s="8" t="inlineStr">
        <is>
          <t>海鮮</t>
        </is>
      </c>
      <c r="G100" s="8" t="inlineStr">
        <is>
          <t>SEA-02</t>
        </is>
      </c>
      <c r="H100" s="9" t="inlineStr">
        <is>
          <t>豆酥鱈魚</t>
        </is>
      </c>
      <c r="I100" s="10" t="n">
        <v>1</v>
      </c>
      <c r="J100" s="11" t="n">
        <v>240</v>
      </c>
      <c r="K100" s="11">
        <f>I100*J100</f>
        <v/>
      </c>
    </row>
    <row r="101">
      <c r="A101" s="4" t="n">
        <v>97</v>
      </c>
      <c r="B101" s="4" t="inlineStr">
        <is>
          <t>ORD-20260027</t>
        </is>
      </c>
      <c r="C101" s="4" t="inlineStr">
        <is>
          <t>2026-09-14</t>
        </is>
      </c>
      <c r="D101" s="4" t="inlineStr">
        <is>
          <t>CUST-1042</t>
        </is>
      </c>
      <c r="E101" s="5" t="inlineStr">
        <is>
          <t>簡銘成</t>
        </is>
      </c>
      <c r="F101" s="4" t="inlineStr">
        <is>
          <t>湯品</t>
        </is>
      </c>
      <c r="G101" s="4" t="inlineStr">
        <is>
          <t>SOU-03</t>
        </is>
      </c>
      <c r="H101" s="5" t="inlineStr">
        <is>
          <t>鮮魚味噌豆腐湯</t>
        </is>
      </c>
      <c r="I101" s="6" t="n">
        <v>3</v>
      </c>
      <c r="J101" s="7" t="n">
        <v>160</v>
      </c>
      <c r="K101" s="7">
        <f>I101*J101</f>
        <v/>
      </c>
    </row>
    <row r="102">
      <c r="A102" s="8" t="n">
        <v>98</v>
      </c>
      <c r="B102" s="8" t="inlineStr">
        <is>
          <t>ORD-20260077</t>
        </is>
      </c>
      <c r="C102" s="8" t="inlineStr">
        <is>
          <t>2026-09-14</t>
        </is>
      </c>
      <c r="D102" s="8" t="inlineStr">
        <is>
          <t>CUST-1004</t>
        </is>
      </c>
      <c r="E102" s="9" t="inlineStr">
        <is>
          <t>黃家豪</t>
        </is>
      </c>
      <c r="F102" s="8" t="inlineStr">
        <is>
          <t>主食</t>
        </is>
      </c>
      <c r="G102" s="8" t="inlineStr">
        <is>
          <t>STA-03</t>
        </is>
      </c>
      <c r="H102" s="9" t="inlineStr">
        <is>
          <t>櫻花蝦炒飯</t>
        </is>
      </c>
      <c r="I102" s="10" t="n">
        <v>10</v>
      </c>
      <c r="J102" s="11" t="n">
        <v>150</v>
      </c>
      <c r="K102" s="11">
        <f>I102*J102</f>
        <v/>
      </c>
    </row>
    <row r="103">
      <c r="A103" s="4" t="n">
        <v>99</v>
      </c>
      <c r="B103" s="4" t="inlineStr">
        <is>
          <t>ORD-20260098</t>
        </is>
      </c>
      <c r="C103" s="4" t="inlineStr">
        <is>
          <t>2026-09-14</t>
        </is>
      </c>
      <c r="D103" s="4" t="inlineStr">
        <is>
          <t>CUST-1044</t>
        </is>
      </c>
      <c r="E103" s="5" t="inlineStr">
        <is>
          <t>柯宗憲</t>
        </is>
      </c>
      <c r="F103" s="4" t="inlineStr">
        <is>
          <t>主食</t>
        </is>
      </c>
      <c r="G103" s="4" t="inlineStr">
        <is>
          <t>STA-06</t>
        </is>
      </c>
      <c r="H103" s="5" t="inlineStr">
        <is>
          <t>麻油雞煨飯</t>
        </is>
      </c>
      <c r="I103" s="6" t="n">
        <v>2</v>
      </c>
      <c r="J103" s="7" t="n">
        <v>180</v>
      </c>
      <c r="K103" s="7">
        <f>I103*J103</f>
        <v/>
      </c>
    </row>
    <row r="104">
      <c r="A104" s="8" t="n">
        <v>100</v>
      </c>
      <c r="B104" s="8" t="inlineStr">
        <is>
          <t>ORD-20260108</t>
        </is>
      </c>
      <c r="C104" s="8" t="inlineStr">
        <is>
          <t>2026-09-14</t>
        </is>
      </c>
      <c r="D104" s="8" t="inlineStr">
        <is>
          <t>CUST-1044</t>
        </is>
      </c>
      <c r="E104" s="9" t="inlineStr">
        <is>
          <t>柯宗憲</t>
        </is>
      </c>
      <c r="F104" s="8" t="inlineStr">
        <is>
          <t>海鮮</t>
        </is>
      </c>
      <c r="G104" s="8" t="inlineStr">
        <is>
          <t>SEA-01</t>
        </is>
      </c>
      <c r="H104" s="9" t="inlineStr">
        <is>
          <t>鳳梨蝦球</t>
        </is>
      </c>
      <c r="I104" s="10" t="n">
        <v>1</v>
      </c>
      <c r="J104" s="11" t="n">
        <v>250</v>
      </c>
      <c r="K104" s="11">
        <f>I104*J104</f>
        <v/>
      </c>
    </row>
    <row r="105">
      <c r="A105" s="4" t="n">
        <v>101</v>
      </c>
      <c r="B105" s="4" t="inlineStr">
        <is>
          <t>ORD-20260157</t>
        </is>
      </c>
      <c r="C105" s="4" t="inlineStr">
        <is>
          <t>2026-09-14</t>
        </is>
      </c>
      <c r="D105" s="4" t="inlineStr">
        <is>
          <t>CUST-1005</t>
        </is>
      </c>
      <c r="E105" s="5" t="inlineStr">
        <is>
          <t>李雅婷</t>
        </is>
      </c>
      <c r="F105" s="4" t="inlineStr">
        <is>
          <t>蔬菜</t>
        </is>
      </c>
      <c r="G105" s="4" t="inlineStr">
        <is>
          <t>VEG-05</t>
        </is>
      </c>
      <c r="H105" s="5" t="inlineStr">
        <is>
          <t>鹹蛋苦瓜</t>
        </is>
      </c>
      <c r="I105" s="6" t="n">
        <v>4</v>
      </c>
      <c r="J105" s="7" t="n">
        <v>160</v>
      </c>
      <c r="K105" s="7">
        <f>I105*J105</f>
        <v/>
      </c>
    </row>
    <row r="106">
      <c r="A106" s="8" t="n">
        <v>102</v>
      </c>
      <c r="B106" s="8" t="inlineStr">
        <is>
          <t>ORD-20260227</t>
        </is>
      </c>
      <c r="C106" s="8" t="inlineStr">
        <is>
          <t>2026-09-14</t>
        </is>
      </c>
      <c r="D106" s="8" t="inlineStr">
        <is>
          <t>CUST-1041</t>
        </is>
      </c>
      <c r="E106" s="9" t="inlineStr">
        <is>
          <t>彭思涵</t>
        </is>
      </c>
      <c r="F106" s="8" t="inlineStr">
        <is>
          <t>肉品</t>
        </is>
      </c>
      <c r="G106" s="8" t="inlineStr">
        <is>
          <t>MEA-07</t>
        </is>
      </c>
      <c r="H106" s="9" t="inlineStr">
        <is>
          <t>薑絲炒大腸</t>
        </is>
      </c>
      <c r="I106" s="10" t="n">
        <v>2</v>
      </c>
      <c r="J106" s="11" t="n">
        <v>210</v>
      </c>
      <c r="K106" s="11">
        <f>I106*J106</f>
        <v/>
      </c>
    </row>
    <row r="107">
      <c r="A107" s="4" t="n">
        <v>103</v>
      </c>
      <c r="B107" s="4" t="inlineStr">
        <is>
          <t>ORD-20260002</t>
        </is>
      </c>
      <c r="C107" s="4" t="inlineStr">
        <is>
          <t>2026-09-15</t>
        </is>
      </c>
      <c r="D107" s="4" t="inlineStr">
        <is>
          <t>CUST-1009</t>
        </is>
      </c>
      <c r="E107" s="5" t="inlineStr">
        <is>
          <t>蔡佩君</t>
        </is>
      </c>
      <c r="F107" s="4" t="inlineStr">
        <is>
          <t>冷盤</t>
        </is>
      </c>
      <c r="G107" s="4" t="inlineStr">
        <is>
          <t>APP-07</t>
        </is>
      </c>
      <c r="H107" s="5" t="inlineStr">
        <is>
          <t>煙燻粉肝</t>
        </is>
      </c>
      <c r="I107" s="6" t="n">
        <v>10</v>
      </c>
      <c r="J107" s="7" t="n">
        <v>120</v>
      </c>
      <c r="K107" s="7">
        <f>I107*J107</f>
        <v/>
      </c>
    </row>
    <row r="108">
      <c r="A108" s="8" t="n">
        <v>104</v>
      </c>
      <c r="B108" s="8" t="inlineStr">
        <is>
          <t>ORD-20260024</t>
        </is>
      </c>
      <c r="C108" s="8" t="inlineStr">
        <is>
          <t>2026-09-15</t>
        </is>
      </c>
      <c r="D108" s="8" t="inlineStr">
        <is>
          <t>CUST-1044</t>
        </is>
      </c>
      <c r="E108" s="9" t="inlineStr">
        <is>
          <t>柯宗憲</t>
        </is>
      </c>
      <c r="F108" s="8" t="inlineStr">
        <is>
          <t>海鮮</t>
        </is>
      </c>
      <c r="G108" s="8" t="inlineStr">
        <is>
          <t>SEA-06</t>
        </is>
      </c>
      <c r="H108" s="9" t="inlineStr">
        <is>
          <t>清蒸金目鱸魚片</t>
        </is>
      </c>
      <c r="I108" s="10" t="n">
        <v>1</v>
      </c>
      <c r="J108" s="11" t="n">
        <v>240</v>
      </c>
      <c r="K108" s="11">
        <f>I108*J108</f>
        <v/>
      </c>
    </row>
    <row r="109">
      <c r="A109" s="4" t="n">
        <v>105</v>
      </c>
      <c r="B109" s="4" t="inlineStr">
        <is>
          <t>ORD-20260025</t>
        </is>
      </c>
      <c r="C109" s="4" t="inlineStr">
        <is>
          <t>2026-09-15</t>
        </is>
      </c>
      <c r="D109" s="4" t="inlineStr">
        <is>
          <t>CUST-1003</t>
        </is>
      </c>
      <c r="E109" s="5" t="inlineStr">
        <is>
          <t>張淑芬</t>
        </is>
      </c>
      <c r="F109" s="4" t="inlineStr">
        <is>
          <t>海鮮</t>
        </is>
      </c>
      <c r="G109" s="4" t="inlineStr">
        <is>
          <t>SEA-06</t>
        </is>
      </c>
      <c r="H109" s="5" t="inlineStr">
        <is>
          <t>清蒸金目鱸魚片</t>
        </is>
      </c>
      <c r="I109" s="6" t="n">
        <v>3</v>
      </c>
      <c r="J109" s="7" t="n">
        <v>240</v>
      </c>
      <c r="K109" s="7">
        <f>I109*J109</f>
        <v/>
      </c>
    </row>
    <row r="110">
      <c r="A110" s="8" t="n">
        <v>106</v>
      </c>
      <c r="B110" s="8" t="inlineStr">
        <is>
          <t>ORD-20260116</t>
        </is>
      </c>
      <c r="C110" s="8" t="inlineStr">
        <is>
          <t>2026-09-15</t>
        </is>
      </c>
      <c r="D110" s="8" t="inlineStr">
        <is>
          <t>CUST-1015</t>
        </is>
      </c>
      <c r="E110" s="9" t="inlineStr">
        <is>
          <t>郭宏達</t>
        </is>
      </c>
      <c r="F110" s="8" t="inlineStr">
        <is>
          <t>冷盤</t>
        </is>
      </c>
      <c r="G110" s="8" t="inlineStr">
        <is>
          <t>APP-02</t>
        </is>
      </c>
      <c r="H110" s="9" t="inlineStr">
        <is>
          <t>五味透抽</t>
        </is>
      </c>
      <c r="I110" s="10" t="n">
        <v>1</v>
      </c>
      <c r="J110" s="11" t="n">
        <v>220</v>
      </c>
      <c r="K110" s="11">
        <f>I110*J110</f>
        <v/>
      </c>
    </row>
    <row r="111">
      <c r="A111" s="4" t="n">
        <v>107</v>
      </c>
      <c r="B111" s="4" t="inlineStr">
        <is>
          <t>ORD-20260139</t>
        </is>
      </c>
      <c r="C111" s="4" t="inlineStr">
        <is>
          <t>2026-09-15</t>
        </is>
      </c>
      <c r="D111" s="4" t="inlineStr">
        <is>
          <t>CUST-1013</t>
        </is>
      </c>
      <c r="E111" s="5" t="inlineStr">
        <is>
          <t>謝佳蓉</t>
        </is>
      </c>
      <c r="F111" s="4" t="inlineStr">
        <is>
          <t>肉品</t>
        </is>
      </c>
      <c r="G111" s="4" t="inlineStr">
        <is>
          <t>MEA-03</t>
        </is>
      </c>
      <c r="H111" s="5" t="inlineStr">
        <is>
          <t>客家小炒</t>
        </is>
      </c>
      <c r="I111" s="6" t="n">
        <v>1</v>
      </c>
      <c r="J111" s="7" t="n">
        <v>190</v>
      </c>
      <c r="K111" s="7">
        <f>I111*J111</f>
        <v/>
      </c>
    </row>
    <row r="112">
      <c r="A112" s="8" t="n">
        <v>108</v>
      </c>
      <c r="B112" s="8" t="inlineStr">
        <is>
          <t>ORD-20260156</t>
        </is>
      </c>
      <c r="C112" s="8" t="inlineStr">
        <is>
          <t>2026-09-15</t>
        </is>
      </c>
      <c r="D112" s="8" t="inlineStr">
        <is>
          <t>CUST-1025</t>
        </is>
      </c>
      <c r="E112" s="9" t="inlineStr">
        <is>
          <t>葉宜君</t>
        </is>
      </c>
      <c r="F112" s="8" t="inlineStr">
        <is>
          <t>飲品</t>
        </is>
      </c>
      <c r="G112" s="8" t="inlineStr">
        <is>
          <t>DRK-04</t>
        </is>
      </c>
      <c r="H112" s="9" t="inlineStr">
        <is>
          <t>特調酸梅湯</t>
        </is>
      </c>
      <c r="I112" s="10" t="n">
        <v>1</v>
      </c>
      <c r="J112" s="11" t="n">
        <v>80</v>
      </c>
      <c r="K112" s="11">
        <f>I112*J112</f>
        <v/>
      </c>
    </row>
    <row r="113">
      <c r="A113" s="4" t="n">
        <v>109</v>
      </c>
      <c r="B113" s="4" t="inlineStr">
        <is>
          <t>ORD-20260233</t>
        </is>
      </c>
      <c r="C113" s="4" t="inlineStr">
        <is>
          <t>2026-09-15</t>
        </is>
      </c>
      <c r="D113" s="4" t="inlineStr">
        <is>
          <t>CUST-1017</t>
        </is>
      </c>
      <c r="E113" s="5" t="inlineStr">
        <is>
          <t>廖健民</t>
        </is>
      </c>
      <c r="F113" s="4" t="inlineStr">
        <is>
          <t>主食</t>
        </is>
      </c>
      <c r="G113" s="4" t="inlineStr">
        <is>
          <t>STA-06</t>
        </is>
      </c>
      <c r="H113" s="5" t="inlineStr">
        <is>
          <t>麻油雞煨飯</t>
        </is>
      </c>
      <c r="I113" s="6" t="n">
        <v>1</v>
      </c>
      <c r="J113" s="7" t="n">
        <v>180</v>
      </c>
      <c r="K113" s="7">
        <f>I113*J113</f>
        <v/>
      </c>
    </row>
    <row r="114">
      <c r="A114" s="8" t="n">
        <v>110</v>
      </c>
      <c r="B114" s="8" t="inlineStr">
        <is>
          <t>ORD-20260284</t>
        </is>
      </c>
      <c r="C114" s="8" t="inlineStr">
        <is>
          <t>2026-09-15</t>
        </is>
      </c>
      <c r="D114" s="8" t="inlineStr">
        <is>
          <t>CUST-1048</t>
        </is>
      </c>
      <c r="E114" s="9" t="inlineStr">
        <is>
          <t>顏立威</t>
        </is>
      </c>
      <c r="F114" s="8" t="inlineStr">
        <is>
          <t>冷盤</t>
        </is>
      </c>
      <c r="G114" s="8" t="inlineStr">
        <is>
          <t>APP-06</t>
        </is>
      </c>
      <c r="H114" s="9" t="inlineStr">
        <is>
          <t>涼拌海蜇皮</t>
        </is>
      </c>
      <c r="I114" s="10" t="n">
        <v>4</v>
      </c>
      <c r="J114" s="11" t="n">
        <v>180</v>
      </c>
      <c r="K114" s="11">
        <f>I114*J114</f>
        <v/>
      </c>
    </row>
    <row r="115">
      <c r="A115" s="4" t="n">
        <v>111</v>
      </c>
      <c r="B115" s="4" t="inlineStr">
        <is>
          <t>ORD-20260304</t>
        </is>
      </c>
      <c r="C115" s="4" t="inlineStr">
        <is>
          <t>2026-09-15</t>
        </is>
      </c>
      <c r="D115" s="4" t="inlineStr">
        <is>
          <t>CUST-1039</t>
        </is>
      </c>
      <c r="E115" s="5" t="inlineStr">
        <is>
          <t>華碩雲端部門</t>
        </is>
      </c>
      <c r="F115" s="4" t="inlineStr">
        <is>
          <t>蔬菜</t>
        </is>
      </c>
      <c r="G115" s="4" t="inlineStr">
        <is>
          <t>VEG-01</t>
        </is>
      </c>
      <c r="H115" s="5" t="inlineStr">
        <is>
          <t>清炒高麗菜</t>
        </is>
      </c>
      <c r="I115" s="6" t="n">
        <v>1</v>
      </c>
      <c r="J115" s="7" t="n">
        <v>110</v>
      </c>
      <c r="K115" s="7">
        <f>I115*J115</f>
        <v/>
      </c>
    </row>
    <row r="116">
      <c r="A116" s="8" t="n">
        <v>112</v>
      </c>
      <c r="B116" s="8" t="inlineStr">
        <is>
          <t>ORD-20260022</t>
        </is>
      </c>
      <c r="C116" s="8" t="inlineStr">
        <is>
          <t>2026-09-16</t>
        </is>
      </c>
      <c r="D116" s="8" t="inlineStr">
        <is>
          <t>CUST-1011</t>
        </is>
      </c>
      <c r="E116" s="9" t="inlineStr">
        <is>
          <t>許文彬</t>
        </is>
      </c>
      <c r="F116" s="8" t="inlineStr">
        <is>
          <t>湯品</t>
        </is>
      </c>
      <c r="G116" s="8" t="inlineStr">
        <is>
          <t>SOU-01</t>
        </is>
      </c>
      <c r="H116" s="9" t="inlineStr">
        <is>
          <t>剝皮辣椒雞湯</t>
        </is>
      </c>
      <c r="I116" s="10" t="n">
        <v>3</v>
      </c>
      <c r="J116" s="11" t="n">
        <v>220</v>
      </c>
      <c r="K116" s="11">
        <f>I116*J116</f>
        <v/>
      </c>
    </row>
    <row r="117">
      <c r="A117" s="4" t="n">
        <v>113</v>
      </c>
      <c r="B117" s="4" t="inlineStr">
        <is>
          <t>ORD-20260029</t>
        </is>
      </c>
      <c r="C117" s="4" t="inlineStr">
        <is>
          <t>2026-09-16</t>
        </is>
      </c>
      <c r="D117" s="4" t="inlineStr">
        <is>
          <t>CUST-1048</t>
        </is>
      </c>
      <c r="E117" s="5" t="inlineStr">
        <is>
          <t>顏立威</t>
        </is>
      </c>
      <c r="F117" s="4" t="inlineStr">
        <is>
          <t>主食</t>
        </is>
      </c>
      <c r="G117" s="4" t="inlineStr">
        <is>
          <t>STA-01</t>
        </is>
      </c>
      <c r="H117" s="5" t="inlineStr">
        <is>
          <t>台式古早味炒米粉</t>
        </is>
      </c>
      <c r="I117" s="6" t="n">
        <v>10</v>
      </c>
      <c r="J117" s="7" t="n">
        <v>120</v>
      </c>
      <c r="K117" s="7">
        <f>I117*J117</f>
        <v/>
      </c>
    </row>
    <row r="118">
      <c r="A118" s="8" t="n">
        <v>114</v>
      </c>
      <c r="B118" s="8" t="inlineStr">
        <is>
          <t>ORD-20260054</t>
        </is>
      </c>
      <c r="C118" s="8" t="inlineStr">
        <is>
          <t>2026-09-16</t>
        </is>
      </c>
      <c r="D118" s="8" t="inlineStr">
        <is>
          <t>CUST-1015</t>
        </is>
      </c>
      <c r="E118" s="9" t="inlineStr">
        <is>
          <t>郭宏達</t>
        </is>
      </c>
      <c r="F118" s="8" t="inlineStr">
        <is>
          <t>冷盤</t>
        </is>
      </c>
      <c r="G118" s="8" t="inlineStr">
        <is>
          <t>APP-05</t>
        </is>
      </c>
      <c r="H118" s="9" t="inlineStr">
        <is>
          <t>黃金皮蛋豆腐</t>
        </is>
      </c>
      <c r="I118" s="10" t="n">
        <v>2</v>
      </c>
      <c r="J118" s="11" t="n">
        <v>90</v>
      </c>
      <c r="K118" s="11">
        <f>I118*J118</f>
        <v/>
      </c>
    </row>
    <row r="119">
      <c r="A119" s="4" t="n">
        <v>115</v>
      </c>
      <c r="B119" s="4" t="inlineStr">
        <is>
          <t>ORD-20260061</t>
        </is>
      </c>
      <c r="C119" s="4" t="inlineStr">
        <is>
          <t>2026-09-16</t>
        </is>
      </c>
      <c r="D119" s="4" t="inlineStr">
        <is>
          <t>CUST-1031</t>
        </is>
      </c>
      <c r="E119" s="5" t="inlineStr">
        <is>
          <t>宏達數位科技</t>
        </is>
      </c>
      <c r="F119" s="4" t="inlineStr">
        <is>
          <t>蔬菜</t>
        </is>
      </c>
      <c r="G119" s="4" t="inlineStr">
        <is>
          <t>VEG-05</t>
        </is>
      </c>
      <c r="H119" s="5" t="inlineStr">
        <is>
          <t>鹹蛋苦瓜</t>
        </is>
      </c>
      <c r="I119" s="6" t="n">
        <v>1</v>
      </c>
      <c r="J119" s="7" t="n">
        <v>160</v>
      </c>
      <c r="K119" s="7">
        <f>I119*J119</f>
        <v/>
      </c>
    </row>
    <row r="120">
      <c r="A120" s="8" t="n">
        <v>116</v>
      </c>
      <c r="B120" s="8" t="inlineStr">
        <is>
          <t>ORD-20260082</t>
        </is>
      </c>
      <c r="C120" s="8" t="inlineStr">
        <is>
          <t>2026-09-16</t>
        </is>
      </c>
      <c r="D120" s="8" t="inlineStr">
        <is>
          <t>CUST-1026</t>
        </is>
      </c>
      <c r="E120" s="9" t="inlineStr">
        <is>
          <t>何孟勳</t>
        </is>
      </c>
      <c r="F120" s="8" t="inlineStr">
        <is>
          <t>肉品</t>
        </is>
      </c>
      <c r="G120" s="8" t="inlineStr">
        <is>
          <t>MEA-01</t>
        </is>
      </c>
      <c r="H120" s="9" t="inlineStr">
        <is>
          <t>經典台式三杯雞</t>
        </is>
      </c>
      <c r="I120" s="10" t="n">
        <v>1</v>
      </c>
      <c r="J120" s="11" t="n">
        <v>240</v>
      </c>
      <c r="K120" s="11">
        <f>I120*J120</f>
        <v/>
      </c>
    </row>
    <row r="121">
      <c r="A121" s="4" t="n">
        <v>117</v>
      </c>
      <c r="B121" s="4" t="inlineStr">
        <is>
          <t>ORD-20260086</t>
        </is>
      </c>
      <c r="C121" s="4" t="inlineStr">
        <is>
          <t>2026-09-16</t>
        </is>
      </c>
      <c r="D121" s="4" t="inlineStr">
        <is>
          <t>CUST-1017</t>
        </is>
      </c>
      <c r="E121" s="5" t="inlineStr">
        <is>
          <t>廖健民</t>
        </is>
      </c>
      <c r="F121" s="4" t="inlineStr">
        <is>
          <t>蔬菜</t>
        </is>
      </c>
      <c r="G121" s="4" t="inlineStr">
        <is>
          <t>VEG-04</t>
        </is>
      </c>
      <c r="H121" s="5" t="inlineStr">
        <is>
          <t>蒜炒地瓜葉</t>
        </is>
      </c>
      <c r="I121" s="6" t="n">
        <v>1</v>
      </c>
      <c r="J121" s="7" t="n">
        <v>90</v>
      </c>
      <c r="K121" s="7">
        <f>I121*J121</f>
        <v/>
      </c>
    </row>
    <row r="122">
      <c r="A122" s="8" t="n">
        <v>118</v>
      </c>
      <c r="B122" s="8" t="inlineStr">
        <is>
          <t>ORD-20260091</t>
        </is>
      </c>
      <c r="C122" s="8" t="inlineStr">
        <is>
          <t>2026-09-16</t>
        </is>
      </c>
      <c r="D122" s="8" t="inlineStr">
        <is>
          <t>CUST-1024</t>
        </is>
      </c>
      <c r="E122" s="9" t="inlineStr">
        <is>
          <t>高銘賢</t>
        </is>
      </c>
      <c r="F122" s="8" t="inlineStr">
        <is>
          <t>海鮮</t>
        </is>
      </c>
      <c r="G122" s="8" t="inlineStr">
        <is>
          <t>SEA-04</t>
        </is>
      </c>
      <c r="H122" s="9" t="inlineStr">
        <is>
          <t>金沙中卷</t>
        </is>
      </c>
      <c r="I122" s="10" t="n">
        <v>1</v>
      </c>
      <c r="J122" s="11" t="n">
        <v>230</v>
      </c>
      <c r="K122" s="11">
        <f>I122*J122</f>
        <v/>
      </c>
    </row>
    <row r="123">
      <c r="A123" s="4" t="n">
        <v>119</v>
      </c>
      <c r="B123" s="4" t="inlineStr">
        <is>
          <t>ORD-20260113</t>
        </is>
      </c>
      <c r="C123" s="4" t="inlineStr">
        <is>
          <t>2026-09-16</t>
        </is>
      </c>
      <c r="D123" s="4" t="inlineStr">
        <is>
          <t>CUST-1018</t>
        </is>
      </c>
      <c r="E123" s="5" t="inlineStr">
        <is>
          <t>邱柏翰</t>
        </is>
      </c>
      <c r="F123" s="4" t="inlineStr">
        <is>
          <t>肉品</t>
        </is>
      </c>
      <c r="G123" s="4" t="inlineStr">
        <is>
          <t>MEA-04</t>
        </is>
      </c>
      <c r="H123" s="5" t="inlineStr">
        <is>
          <t>醬燒蔥爆牛肉</t>
        </is>
      </c>
      <c r="I123" s="6" t="n">
        <v>1</v>
      </c>
      <c r="J123" s="7" t="n">
        <v>230</v>
      </c>
      <c r="K123" s="7">
        <f>I123*J123</f>
        <v/>
      </c>
    </row>
    <row r="124">
      <c r="A124" s="8" t="n">
        <v>120</v>
      </c>
      <c r="B124" s="8" t="inlineStr">
        <is>
          <t>ORD-20260154</t>
        </is>
      </c>
      <c r="C124" s="8" t="inlineStr">
        <is>
          <t>2026-09-16</t>
        </is>
      </c>
      <c r="D124" s="8" t="inlineStr">
        <is>
          <t>CUST-1018</t>
        </is>
      </c>
      <c r="E124" s="9" t="inlineStr">
        <is>
          <t>邱柏翰</t>
        </is>
      </c>
      <c r="F124" s="8" t="inlineStr">
        <is>
          <t>海鮮</t>
        </is>
      </c>
      <c r="G124" s="8" t="inlineStr">
        <is>
          <t>SEA-07</t>
        </is>
      </c>
      <c r="H124" s="9" t="inlineStr">
        <is>
          <t>生炒花枝</t>
        </is>
      </c>
      <c r="I124" s="10" t="n">
        <v>2</v>
      </c>
      <c r="J124" s="11" t="n">
        <v>200</v>
      </c>
      <c r="K124" s="11">
        <f>I124*J124</f>
        <v/>
      </c>
    </row>
    <row r="125">
      <c r="A125" s="4" t="n">
        <v>121</v>
      </c>
      <c r="B125" s="4" t="inlineStr">
        <is>
          <t>ORD-20260177</t>
        </is>
      </c>
      <c r="C125" s="4" t="inlineStr">
        <is>
          <t>2026-09-16</t>
        </is>
      </c>
      <c r="D125" s="4" t="inlineStr">
        <is>
          <t>CUST-1009</t>
        </is>
      </c>
      <c r="E125" s="5" t="inlineStr">
        <is>
          <t>蔡佩君</t>
        </is>
      </c>
      <c r="F125" s="4" t="inlineStr">
        <is>
          <t>湯品</t>
        </is>
      </c>
      <c r="G125" s="4" t="inlineStr">
        <is>
          <t>SOU-02</t>
        </is>
      </c>
      <c r="H125" s="5" t="inlineStr">
        <is>
          <t>鳳梨苦瓜雞湯</t>
        </is>
      </c>
      <c r="I125" s="6" t="n">
        <v>1</v>
      </c>
      <c r="J125" s="7" t="n">
        <v>210</v>
      </c>
      <c r="K125" s="7">
        <f>I125*J125</f>
        <v/>
      </c>
    </row>
    <row r="126">
      <c r="A126" s="8" t="n">
        <v>122</v>
      </c>
      <c r="B126" s="8" t="inlineStr">
        <is>
          <t>ORD-20260263</t>
        </is>
      </c>
      <c r="C126" s="8" t="inlineStr">
        <is>
          <t>2026-09-16</t>
        </is>
      </c>
      <c r="D126" s="8" t="inlineStr">
        <is>
          <t>CUST-1030</t>
        </is>
      </c>
      <c r="E126" s="9" t="inlineStr">
        <is>
          <t>呂建德</t>
        </is>
      </c>
      <c r="F126" s="8" t="inlineStr">
        <is>
          <t>主食</t>
        </is>
      </c>
      <c r="G126" s="8" t="inlineStr">
        <is>
          <t>STA-01</t>
        </is>
      </c>
      <c r="H126" s="9" t="inlineStr">
        <is>
          <t>台式古早味炒米粉</t>
        </is>
      </c>
      <c r="I126" s="10" t="n">
        <v>1</v>
      </c>
      <c r="J126" s="11" t="n">
        <v>120</v>
      </c>
      <c r="K126" s="11">
        <f>I126*J126</f>
        <v/>
      </c>
    </row>
    <row r="127">
      <c r="A127" s="4" t="n">
        <v>123</v>
      </c>
      <c r="B127" s="4" t="inlineStr">
        <is>
          <t>ORD-20260271</t>
        </is>
      </c>
      <c r="C127" s="4" t="inlineStr">
        <is>
          <t>2026-09-16</t>
        </is>
      </c>
      <c r="D127" s="4" t="inlineStr">
        <is>
          <t>CUST-1037</t>
        </is>
      </c>
      <c r="E127" s="5" t="inlineStr">
        <is>
          <t>晨曦文創公司</t>
        </is>
      </c>
      <c r="F127" s="4" t="inlineStr">
        <is>
          <t>蔬菜</t>
        </is>
      </c>
      <c r="G127" s="4" t="inlineStr">
        <is>
          <t>VEG-03</t>
        </is>
      </c>
      <c r="H127" s="5" t="inlineStr">
        <is>
          <t>樹子炒水蓮</t>
        </is>
      </c>
      <c r="I127" s="6" t="n">
        <v>1</v>
      </c>
      <c r="J127" s="7" t="n">
        <v>140</v>
      </c>
      <c r="K127" s="7">
        <f>I127*J127</f>
        <v/>
      </c>
    </row>
    <row r="128">
      <c r="A128" s="8" t="n">
        <v>124</v>
      </c>
      <c r="B128" s="8" t="inlineStr">
        <is>
          <t>ORD-20260283</t>
        </is>
      </c>
      <c r="C128" s="8" t="inlineStr">
        <is>
          <t>2026-09-16</t>
        </is>
      </c>
      <c r="D128" s="8" t="inlineStr">
        <is>
          <t>CUST-1041</t>
        </is>
      </c>
      <c r="E128" s="9" t="inlineStr">
        <is>
          <t>彭思涵</t>
        </is>
      </c>
      <c r="F128" s="8" t="inlineStr">
        <is>
          <t>飲品</t>
        </is>
      </c>
      <c r="G128" s="8" t="inlineStr">
        <is>
          <t>DRK-03</t>
        </is>
      </c>
      <c r="H128" s="9" t="inlineStr">
        <is>
          <t>台南冷泡高山青茶</t>
        </is>
      </c>
      <c r="I128" s="10" t="n">
        <v>2</v>
      </c>
      <c r="J128" s="11" t="n">
        <v>80</v>
      </c>
      <c r="K128" s="11">
        <f>I128*J128</f>
        <v/>
      </c>
    </row>
    <row r="129">
      <c r="A129" s="4" t="n">
        <v>125</v>
      </c>
      <c r="B129" s="4" t="inlineStr">
        <is>
          <t>ORD-20260030</t>
        </is>
      </c>
      <c r="C129" s="4" t="inlineStr">
        <is>
          <t>2026-09-17</t>
        </is>
      </c>
      <c r="D129" s="4" t="inlineStr">
        <is>
          <t>CUST-1048</t>
        </is>
      </c>
      <c r="E129" s="5" t="inlineStr">
        <is>
          <t>顏立威</t>
        </is>
      </c>
      <c r="F129" s="4" t="inlineStr">
        <is>
          <t>主食</t>
        </is>
      </c>
      <c r="G129" s="4" t="inlineStr">
        <is>
          <t>STA-03</t>
        </is>
      </c>
      <c r="H129" s="5" t="inlineStr">
        <is>
          <t>櫻花蝦炒飯</t>
        </is>
      </c>
      <c r="I129" s="6" t="n">
        <v>4</v>
      </c>
      <c r="J129" s="7" t="n">
        <v>150</v>
      </c>
      <c r="K129" s="7">
        <f>I129*J129</f>
        <v/>
      </c>
    </row>
    <row r="130">
      <c r="A130" s="8" t="n">
        <v>126</v>
      </c>
      <c r="B130" s="8" t="inlineStr">
        <is>
          <t>ORD-20260036</t>
        </is>
      </c>
      <c r="C130" s="8" t="inlineStr">
        <is>
          <t>2026-09-17</t>
        </is>
      </c>
      <c r="D130" s="8" t="inlineStr">
        <is>
          <t>CUST-1036</t>
        </is>
      </c>
      <c r="E130" s="9" t="inlineStr">
        <is>
          <t>聯發創新團隊</t>
        </is>
      </c>
      <c r="F130" s="8" t="inlineStr">
        <is>
          <t>冷盤</t>
        </is>
      </c>
      <c r="G130" s="8" t="inlineStr">
        <is>
          <t>APP-01</t>
        </is>
      </c>
      <c r="H130" s="9" t="inlineStr">
        <is>
          <t>台式蒜泥白肉</t>
        </is>
      </c>
      <c r="I130" s="10" t="n">
        <v>1</v>
      </c>
      <c r="J130" s="11" t="n">
        <v>160</v>
      </c>
      <c r="K130" s="11">
        <f>I130*J130</f>
        <v/>
      </c>
    </row>
    <row r="131">
      <c r="A131" s="4" t="n">
        <v>127</v>
      </c>
      <c r="B131" s="4" t="inlineStr">
        <is>
          <t>ORD-20260090</t>
        </is>
      </c>
      <c r="C131" s="4" t="inlineStr">
        <is>
          <t>2026-09-17</t>
        </is>
      </c>
      <c r="D131" s="4" t="inlineStr">
        <is>
          <t>CUST-1009</t>
        </is>
      </c>
      <c r="E131" s="5" t="inlineStr">
        <is>
          <t>蔡佩君</t>
        </is>
      </c>
      <c r="F131" s="4" t="inlineStr">
        <is>
          <t>蔬菜</t>
        </is>
      </c>
      <c r="G131" s="4" t="inlineStr">
        <is>
          <t>VEG-01</t>
        </is>
      </c>
      <c r="H131" s="5" t="inlineStr">
        <is>
          <t>清炒高麗菜</t>
        </is>
      </c>
      <c r="I131" s="6" t="n">
        <v>1</v>
      </c>
      <c r="J131" s="7" t="n">
        <v>110</v>
      </c>
      <c r="K131" s="7">
        <f>I131*J131</f>
        <v/>
      </c>
    </row>
    <row r="132">
      <c r="A132" s="8" t="n">
        <v>128</v>
      </c>
      <c r="B132" s="8" t="inlineStr">
        <is>
          <t>ORD-20260102</t>
        </is>
      </c>
      <c r="C132" s="8" t="inlineStr">
        <is>
          <t>2026-09-17</t>
        </is>
      </c>
      <c r="D132" s="8" t="inlineStr">
        <is>
          <t>CUST-1011</t>
        </is>
      </c>
      <c r="E132" s="9" t="inlineStr">
        <is>
          <t>許文彬</t>
        </is>
      </c>
      <c r="F132" s="8" t="inlineStr">
        <is>
          <t>蔬菜</t>
        </is>
      </c>
      <c r="G132" s="8" t="inlineStr">
        <is>
          <t>VEG-07</t>
        </is>
      </c>
      <c r="H132" s="9" t="inlineStr">
        <is>
          <t>開陽白菜滷</t>
        </is>
      </c>
      <c r="I132" s="10" t="n">
        <v>10</v>
      </c>
      <c r="J132" s="11" t="n">
        <v>130</v>
      </c>
      <c r="K132" s="11">
        <f>I132*J132</f>
        <v/>
      </c>
    </row>
    <row r="133">
      <c r="A133" s="4" t="n">
        <v>129</v>
      </c>
      <c r="B133" s="4" t="inlineStr">
        <is>
          <t>ORD-20260197</t>
        </is>
      </c>
      <c r="C133" s="4" t="inlineStr">
        <is>
          <t>2026-09-17</t>
        </is>
      </c>
      <c r="D133" s="4" t="inlineStr">
        <is>
          <t>CUST-1022</t>
        </is>
      </c>
      <c r="E133" s="5" t="inlineStr">
        <is>
          <t>孫宇軒</t>
        </is>
      </c>
      <c r="F133" s="4" t="inlineStr">
        <is>
          <t>海鮮</t>
        </is>
      </c>
      <c r="G133" s="4" t="inlineStr">
        <is>
          <t>SEA-03</t>
        </is>
      </c>
      <c r="H133" s="5" t="inlineStr">
        <is>
          <t>塔香炒蛤蜊</t>
        </is>
      </c>
      <c r="I133" s="6" t="n">
        <v>2</v>
      </c>
      <c r="J133" s="7" t="n">
        <v>190</v>
      </c>
      <c r="K133" s="7">
        <f>I133*J133</f>
        <v/>
      </c>
    </row>
    <row r="134">
      <c r="A134" s="8" t="n">
        <v>130</v>
      </c>
      <c r="B134" s="8" t="inlineStr">
        <is>
          <t>ORD-20260250</t>
        </is>
      </c>
      <c r="C134" s="8" t="inlineStr">
        <is>
          <t>2026-09-17</t>
        </is>
      </c>
      <c r="D134" s="8" t="inlineStr">
        <is>
          <t>CUST-1021</t>
        </is>
      </c>
      <c r="E134" s="9" t="inlineStr">
        <is>
          <t>徐世榮</t>
        </is>
      </c>
      <c r="F134" s="8" t="inlineStr">
        <is>
          <t>肉品</t>
        </is>
      </c>
      <c r="G134" s="8" t="inlineStr">
        <is>
          <t>MEA-01</t>
        </is>
      </c>
      <c r="H134" s="9" t="inlineStr">
        <is>
          <t>經典台式三杯雞</t>
        </is>
      </c>
      <c r="I134" s="10" t="n">
        <v>3</v>
      </c>
      <c r="J134" s="11" t="n">
        <v>240</v>
      </c>
      <c r="K134" s="11">
        <f>I134*J134</f>
        <v/>
      </c>
    </row>
    <row r="135">
      <c r="A135" s="4" t="n">
        <v>131</v>
      </c>
      <c r="B135" s="4" t="inlineStr">
        <is>
          <t>ORD-20260294</t>
        </is>
      </c>
      <c r="C135" s="4" t="inlineStr">
        <is>
          <t>2026-09-17</t>
        </is>
      </c>
      <c r="D135" s="4" t="inlineStr">
        <is>
          <t>CUST-1030</t>
        </is>
      </c>
      <c r="E135" s="5" t="inlineStr">
        <is>
          <t>呂建德</t>
        </is>
      </c>
      <c r="F135" s="4" t="inlineStr">
        <is>
          <t>海鮮</t>
        </is>
      </c>
      <c r="G135" s="4" t="inlineStr">
        <is>
          <t>SEA-02</t>
        </is>
      </c>
      <c r="H135" s="5" t="inlineStr">
        <is>
          <t>豆酥鱈魚</t>
        </is>
      </c>
      <c r="I135" s="6" t="n">
        <v>1</v>
      </c>
      <c r="J135" s="7" t="n">
        <v>240</v>
      </c>
      <c r="K135" s="7">
        <f>I135*J135</f>
        <v/>
      </c>
    </row>
    <row r="136">
      <c r="A136" s="8" t="n">
        <v>132</v>
      </c>
      <c r="B136" s="8" t="inlineStr">
        <is>
          <t>ORD-20260298</t>
        </is>
      </c>
      <c r="C136" s="8" t="inlineStr">
        <is>
          <t>2026-09-17</t>
        </is>
      </c>
      <c r="D136" s="8" t="inlineStr">
        <is>
          <t>CUST-1030</t>
        </is>
      </c>
      <c r="E136" s="9" t="inlineStr">
        <is>
          <t>呂建德</t>
        </is>
      </c>
      <c r="F136" s="8" t="inlineStr">
        <is>
          <t>海鮮</t>
        </is>
      </c>
      <c r="G136" s="8" t="inlineStr">
        <is>
          <t>SEA-05</t>
        </is>
      </c>
      <c r="H136" s="9" t="inlineStr">
        <is>
          <t>乾煎虱目魚肚</t>
        </is>
      </c>
      <c r="I136" s="10" t="n">
        <v>1</v>
      </c>
      <c r="J136" s="11" t="n">
        <v>180</v>
      </c>
      <c r="K136" s="11">
        <f>I136*J136</f>
        <v/>
      </c>
    </row>
    <row r="137">
      <c r="A137" s="4" t="n">
        <v>133</v>
      </c>
      <c r="B137" s="4" t="inlineStr">
        <is>
          <t>ORD-20260018</t>
        </is>
      </c>
      <c r="C137" s="4" t="inlineStr">
        <is>
          <t>2026-09-18</t>
        </is>
      </c>
      <c r="D137" s="4" t="inlineStr">
        <is>
          <t>CUST-1030</t>
        </is>
      </c>
      <c r="E137" s="5" t="inlineStr">
        <is>
          <t>呂建德</t>
        </is>
      </c>
      <c r="F137" s="4" t="inlineStr">
        <is>
          <t>主食</t>
        </is>
      </c>
      <c r="G137" s="4" t="inlineStr">
        <is>
          <t>STA-06</t>
        </is>
      </c>
      <c r="H137" s="5" t="inlineStr">
        <is>
          <t>麻油雞煨飯</t>
        </is>
      </c>
      <c r="I137" s="6" t="n">
        <v>3</v>
      </c>
      <c r="J137" s="7" t="n">
        <v>180</v>
      </c>
      <c r="K137" s="7">
        <f>I137*J137</f>
        <v/>
      </c>
    </row>
    <row r="138">
      <c r="A138" s="8" t="n">
        <v>134</v>
      </c>
      <c r="B138" s="8" t="inlineStr">
        <is>
          <t>ORD-20260020</t>
        </is>
      </c>
      <c r="C138" s="8" t="inlineStr">
        <is>
          <t>2026-09-18</t>
        </is>
      </c>
      <c r="D138" s="8" t="inlineStr">
        <is>
          <t>CUST-1045</t>
        </is>
      </c>
      <c r="E138" s="9" t="inlineStr">
        <is>
          <t>翁淑真</t>
        </is>
      </c>
      <c r="F138" s="8" t="inlineStr">
        <is>
          <t>飲品</t>
        </is>
      </c>
      <c r="G138" s="8" t="inlineStr">
        <is>
          <t>DRK-03</t>
        </is>
      </c>
      <c r="H138" s="9" t="inlineStr">
        <is>
          <t>台南冷泡高山青茶</t>
        </is>
      </c>
      <c r="I138" s="10" t="n">
        <v>1</v>
      </c>
      <c r="J138" s="11" t="n">
        <v>80</v>
      </c>
      <c r="K138" s="11">
        <f>I138*J138</f>
        <v/>
      </c>
    </row>
    <row r="139">
      <c r="A139" s="4" t="n">
        <v>135</v>
      </c>
      <c r="B139" s="4" t="inlineStr">
        <is>
          <t>ORD-20260023</t>
        </is>
      </c>
      <c r="C139" s="4" t="inlineStr">
        <is>
          <t>2026-09-18</t>
        </is>
      </c>
      <c r="D139" s="4" t="inlineStr">
        <is>
          <t>CUST-1041</t>
        </is>
      </c>
      <c r="E139" s="5" t="inlineStr">
        <is>
          <t>彭思涵</t>
        </is>
      </c>
      <c r="F139" s="4" t="inlineStr">
        <is>
          <t>飲品</t>
        </is>
      </c>
      <c r="G139" s="4" t="inlineStr">
        <is>
          <t>DRK-04</t>
        </is>
      </c>
      <c r="H139" s="5" t="inlineStr">
        <is>
          <t>特調酸梅湯</t>
        </is>
      </c>
      <c r="I139" s="6" t="n">
        <v>10</v>
      </c>
      <c r="J139" s="7" t="n">
        <v>80</v>
      </c>
      <c r="K139" s="7">
        <f>I139*J139</f>
        <v/>
      </c>
    </row>
    <row r="140">
      <c r="A140" s="8" t="n">
        <v>136</v>
      </c>
      <c r="B140" s="8" t="inlineStr">
        <is>
          <t>ORD-20260026</t>
        </is>
      </c>
      <c r="C140" s="8" t="inlineStr">
        <is>
          <t>2026-09-18</t>
        </is>
      </c>
      <c r="D140" s="8" t="inlineStr">
        <is>
          <t>CUST-1005</t>
        </is>
      </c>
      <c r="E140" s="9" t="inlineStr">
        <is>
          <t>李雅婷</t>
        </is>
      </c>
      <c r="F140" s="8" t="inlineStr">
        <is>
          <t>肉品</t>
        </is>
      </c>
      <c r="G140" s="8" t="inlineStr">
        <is>
          <t>MEA-07</t>
        </is>
      </c>
      <c r="H140" s="9" t="inlineStr">
        <is>
          <t>薑絲炒大腸</t>
        </is>
      </c>
      <c r="I140" s="10" t="n">
        <v>2</v>
      </c>
      <c r="J140" s="11" t="n">
        <v>210</v>
      </c>
      <c r="K140" s="11">
        <f>I140*J140</f>
        <v/>
      </c>
    </row>
    <row r="141">
      <c r="A141" s="4" t="n">
        <v>137</v>
      </c>
      <c r="B141" s="4" t="inlineStr">
        <is>
          <t>ORD-20260059</t>
        </is>
      </c>
      <c r="C141" s="4" t="inlineStr">
        <is>
          <t>2026-09-18</t>
        </is>
      </c>
      <c r="D141" s="4" t="inlineStr">
        <is>
          <t>CUST-1043</t>
        </is>
      </c>
      <c r="E141" s="5" t="inlineStr">
        <is>
          <t>潘郁婷</t>
        </is>
      </c>
      <c r="F141" s="4" t="inlineStr">
        <is>
          <t>湯品</t>
        </is>
      </c>
      <c r="G141" s="4" t="inlineStr">
        <is>
          <t>SOU-03</t>
        </is>
      </c>
      <c r="H141" s="5" t="inlineStr">
        <is>
          <t>鮮魚味噌豆腐湯</t>
        </is>
      </c>
      <c r="I141" s="6" t="n">
        <v>1</v>
      </c>
      <c r="J141" s="7" t="n">
        <v>160</v>
      </c>
      <c r="K141" s="7">
        <f>I141*J141</f>
        <v/>
      </c>
    </row>
    <row r="142">
      <c r="A142" s="8" t="n">
        <v>138</v>
      </c>
      <c r="B142" s="8" t="inlineStr">
        <is>
          <t>ORD-20260118</t>
        </is>
      </c>
      <c r="C142" s="8" t="inlineStr">
        <is>
          <t>2026-09-18</t>
        </is>
      </c>
      <c r="D142" s="8" t="inlineStr">
        <is>
          <t>CUST-1023</t>
        </is>
      </c>
      <c r="E142" s="9" t="inlineStr">
        <is>
          <t>朱佳琪</t>
        </is>
      </c>
      <c r="F142" s="8" t="inlineStr">
        <is>
          <t>飲品</t>
        </is>
      </c>
      <c r="G142" s="8" t="inlineStr">
        <is>
          <t>DRK-01</t>
        </is>
      </c>
      <c r="H142" s="9" t="inlineStr">
        <is>
          <t>古早味冬瓜檸檬</t>
        </is>
      </c>
      <c r="I142" s="10" t="n">
        <v>8</v>
      </c>
      <c r="J142" s="11" t="n">
        <v>80</v>
      </c>
      <c r="K142" s="11">
        <f>I142*J142</f>
        <v/>
      </c>
    </row>
    <row r="143">
      <c r="A143" s="4" t="n">
        <v>139</v>
      </c>
      <c r="B143" s="4" t="inlineStr">
        <is>
          <t>ORD-20260153</t>
        </is>
      </c>
      <c r="C143" s="4" t="inlineStr">
        <is>
          <t>2026-09-18</t>
        </is>
      </c>
      <c r="D143" s="4" t="inlineStr">
        <is>
          <t>CUST-1029</t>
        </is>
      </c>
      <c r="E143" s="5" t="inlineStr">
        <is>
          <t>莊佩珊</t>
        </is>
      </c>
      <c r="F143" s="4" t="inlineStr">
        <is>
          <t>冷盤</t>
        </is>
      </c>
      <c r="G143" s="4" t="inlineStr">
        <is>
          <t>APP-05</t>
        </is>
      </c>
      <c r="H143" s="5" t="inlineStr">
        <is>
          <t>黃金皮蛋豆腐</t>
        </is>
      </c>
      <c r="I143" s="6" t="n">
        <v>2</v>
      </c>
      <c r="J143" s="7" t="n">
        <v>90</v>
      </c>
      <c r="K143" s="7">
        <f>I143*J143</f>
        <v/>
      </c>
    </row>
    <row r="144">
      <c r="A144" s="8" t="n">
        <v>140</v>
      </c>
      <c r="B144" s="8" t="inlineStr">
        <is>
          <t>ORD-20260164</t>
        </is>
      </c>
      <c r="C144" s="8" t="inlineStr">
        <is>
          <t>2026-09-18</t>
        </is>
      </c>
      <c r="D144" s="8" t="inlineStr">
        <is>
          <t>CUST-1028</t>
        </is>
      </c>
      <c r="E144" s="9" t="inlineStr">
        <is>
          <t>蘇志強</t>
        </is>
      </c>
      <c r="F144" s="8" t="inlineStr">
        <is>
          <t>湯品</t>
        </is>
      </c>
      <c r="G144" s="8" t="inlineStr">
        <is>
          <t>SOU-03</t>
        </is>
      </c>
      <c r="H144" s="9" t="inlineStr">
        <is>
          <t>鮮魚味噌豆腐湯</t>
        </is>
      </c>
      <c r="I144" s="10" t="n">
        <v>1</v>
      </c>
      <c r="J144" s="11" t="n">
        <v>160</v>
      </c>
      <c r="K144" s="11">
        <f>I144*J144</f>
        <v/>
      </c>
    </row>
    <row r="145">
      <c r="A145" s="4" t="n">
        <v>141</v>
      </c>
      <c r="B145" s="4" t="inlineStr">
        <is>
          <t>ORD-20260191</t>
        </is>
      </c>
      <c r="C145" s="4" t="inlineStr">
        <is>
          <t>2026-09-18</t>
        </is>
      </c>
      <c r="D145" s="4" t="inlineStr">
        <is>
          <t>CUST-1040</t>
        </is>
      </c>
      <c r="E145" s="5" t="inlineStr">
        <is>
          <t>微星多媒體室</t>
        </is>
      </c>
      <c r="F145" s="4" t="inlineStr">
        <is>
          <t>湯品</t>
        </is>
      </c>
      <c r="G145" s="4" t="inlineStr">
        <is>
          <t>SOU-06</t>
        </is>
      </c>
      <c r="H145" s="5" t="inlineStr">
        <is>
          <t>貢丸蘿蔔排骨湯</t>
        </is>
      </c>
      <c r="I145" s="6" t="n">
        <v>6</v>
      </c>
      <c r="J145" s="7" t="n">
        <v>120</v>
      </c>
      <c r="K145" s="7">
        <f>I145*J145</f>
        <v/>
      </c>
    </row>
    <row r="146">
      <c r="A146" s="8" t="n">
        <v>142</v>
      </c>
      <c r="B146" s="8" t="inlineStr">
        <is>
          <t>ORD-20260210</t>
        </is>
      </c>
      <c r="C146" s="8" t="inlineStr">
        <is>
          <t>2026-09-18</t>
        </is>
      </c>
      <c r="D146" s="8" t="inlineStr">
        <is>
          <t>CUST-1047</t>
        </is>
      </c>
      <c r="E146" s="9" t="inlineStr">
        <is>
          <t>江佩芳</t>
        </is>
      </c>
      <c r="F146" s="8" t="inlineStr">
        <is>
          <t>主食</t>
        </is>
      </c>
      <c r="G146" s="8" t="inlineStr">
        <is>
          <t>STA-03</t>
        </is>
      </c>
      <c r="H146" s="9" t="inlineStr">
        <is>
          <t>櫻花蝦炒飯</t>
        </is>
      </c>
      <c r="I146" s="10" t="n">
        <v>8</v>
      </c>
      <c r="J146" s="11" t="n">
        <v>150</v>
      </c>
      <c r="K146" s="11">
        <f>I146*J146</f>
        <v/>
      </c>
    </row>
    <row r="147">
      <c r="A147" s="4" t="n">
        <v>143</v>
      </c>
      <c r="B147" s="4" t="inlineStr">
        <is>
          <t>ORD-20260242</t>
        </is>
      </c>
      <c r="C147" s="4" t="inlineStr">
        <is>
          <t>2026-09-18</t>
        </is>
      </c>
      <c r="D147" s="4" t="inlineStr">
        <is>
          <t>CUST-1037</t>
        </is>
      </c>
      <c r="E147" s="5" t="inlineStr">
        <is>
          <t>晨曦文創公司</t>
        </is>
      </c>
      <c r="F147" s="4" t="inlineStr">
        <is>
          <t>冷盤</t>
        </is>
      </c>
      <c r="G147" s="4" t="inlineStr">
        <is>
          <t>APP-03</t>
        </is>
      </c>
      <c r="H147" s="5" t="inlineStr">
        <is>
          <t>紹興醉雞卷</t>
        </is>
      </c>
      <c r="I147" s="6" t="n">
        <v>1</v>
      </c>
      <c r="J147" s="7" t="n">
        <v>210</v>
      </c>
      <c r="K147" s="7">
        <f>I147*J147</f>
        <v/>
      </c>
    </row>
    <row r="148">
      <c r="A148" s="8" t="n">
        <v>144</v>
      </c>
      <c r="B148" s="8" t="inlineStr">
        <is>
          <t>ORD-20260244</t>
        </is>
      </c>
      <c r="C148" s="8" t="inlineStr">
        <is>
          <t>2026-09-18</t>
        </is>
      </c>
      <c r="D148" s="8" t="inlineStr">
        <is>
          <t>CUST-1012</t>
        </is>
      </c>
      <c r="E148" s="9" t="inlineStr">
        <is>
          <t>鄭雅雯</t>
        </is>
      </c>
      <c r="F148" s="8" t="inlineStr">
        <is>
          <t>主食</t>
        </is>
      </c>
      <c r="G148" s="8" t="inlineStr">
        <is>
          <t>STA-03</t>
        </is>
      </c>
      <c r="H148" s="9" t="inlineStr">
        <is>
          <t>櫻花蝦炒飯</t>
        </is>
      </c>
      <c r="I148" s="10" t="n">
        <v>4</v>
      </c>
      <c r="J148" s="11" t="n">
        <v>150</v>
      </c>
      <c r="K148" s="11">
        <f>I148*J148</f>
        <v/>
      </c>
    </row>
    <row r="149">
      <c r="A149" s="4" t="n">
        <v>145</v>
      </c>
      <c r="B149" s="4" t="inlineStr">
        <is>
          <t>ORD-20260255</t>
        </is>
      </c>
      <c r="C149" s="4" t="inlineStr">
        <is>
          <t>2026-09-18</t>
        </is>
      </c>
      <c r="D149" s="4" t="inlineStr">
        <is>
          <t>CUST-1036</t>
        </is>
      </c>
      <c r="E149" s="5" t="inlineStr">
        <is>
          <t>聯發創新團隊</t>
        </is>
      </c>
      <c r="F149" s="4" t="inlineStr">
        <is>
          <t>肉品</t>
        </is>
      </c>
      <c r="G149" s="4" t="inlineStr">
        <is>
          <t>MEA-02</t>
        </is>
      </c>
      <c r="H149" s="5" t="inlineStr">
        <is>
          <t>阿嬤紅燒肉</t>
        </is>
      </c>
      <c r="I149" s="6" t="n">
        <v>2</v>
      </c>
      <c r="J149" s="7" t="n">
        <v>220</v>
      </c>
      <c r="K149" s="7">
        <f>I149*J149</f>
        <v/>
      </c>
    </row>
    <row r="150">
      <c r="A150" s="8" t="n">
        <v>146</v>
      </c>
      <c r="B150" s="8" t="inlineStr">
        <is>
          <t>ORD-20260262</t>
        </is>
      </c>
      <c r="C150" s="8" t="inlineStr">
        <is>
          <t>2026-09-18</t>
        </is>
      </c>
      <c r="D150" s="8" t="inlineStr">
        <is>
          <t>CUST-1027</t>
        </is>
      </c>
      <c r="E150" s="9" t="inlineStr">
        <is>
          <t>羅雅惠</t>
        </is>
      </c>
      <c r="F150" s="8" t="inlineStr">
        <is>
          <t>湯品</t>
        </is>
      </c>
      <c r="G150" s="8" t="inlineStr">
        <is>
          <t>SOU-02</t>
        </is>
      </c>
      <c r="H150" s="9" t="inlineStr">
        <is>
          <t>鳳梨苦瓜雞湯</t>
        </is>
      </c>
      <c r="I150" s="10" t="n">
        <v>6</v>
      </c>
      <c r="J150" s="11" t="n">
        <v>210</v>
      </c>
      <c r="K150" s="11">
        <f>I150*J150</f>
        <v/>
      </c>
    </row>
    <row r="151">
      <c r="A151" s="4" t="n">
        <v>147</v>
      </c>
      <c r="B151" s="4" t="inlineStr">
        <is>
          <t>ORD-20260302</t>
        </is>
      </c>
      <c r="C151" s="4" t="inlineStr">
        <is>
          <t>2026-09-18</t>
        </is>
      </c>
      <c r="D151" s="4" t="inlineStr">
        <is>
          <t>CUST-1001</t>
        </is>
      </c>
      <c r="E151" s="5" t="inlineStr">
        <is>
          <t>陳建宏</t>
        </is>
      </c>
      <c r="F151" s="4" t="inlineStr">
        <is>
          <t>主食</t>
        </is>
      </c>
      <c r="G151" s="4" t="inlineStr">
        <is>
          <t>STA-02</t>
        </is>
      </c>
      <c r="H151" s="5" t="inlineStr">
        <is>
          <t>台式肉絲炒麵</t>
        </is>
      </c>
      <c r="I151" s="6" t="n">
        <v>1</v>
      </c>
      <c r="J151" s="7" t="n">
        <v>110</v>
      </c>
      <c r="K151" s="7">
        <f>I151*J151</f>
        <v/>
      </c>
    </row>
    <row r="152">
      <c r="A152" s="8" t="n">
        <v>148</v>
      </c>
      <c r="B152" s="8" t="inlineStr">
        <is>
          <t>ORD-20260311</t>
        </is>
      </c>
      <c r="C152" s="8" t="inlineStr">
        <is>
          <t>2026-09-18</t>
        </is>
      </c>
      <c r="D152" s="8" t="inlineStr">
        <is>
          <t>CUST-1011</t>
        </is>
      </c>
      <c r="E152" s="9" t="inlineStr">
        <is>
          <t>許文彬</t>
        </is>
      </c>
      <c r="F152" s="8" t="inlineStr">
        <is>
          <t>海鮮</t>
        </is>
      </c>
      <c r="G152" s="8" t="inlineStr">
        <is>
          <t>SEA-02</t>
        </is>
      </c>
      <c r="H152" s="9" t="inlineStr">
        <is>
          <t>豆酥鱈魚</t>
        </is>
      </c>
      <c r="I152" s="10" t="n">
        <v>6</v>
      </c>
      <c r="J152" s="11" t="n">
        <v>240</v>
      </c>
      <c r="K152" s="11">
        <f>I152*J152</f>
        <v/>
      </c>
    </row>
    <row r="153">
      <c r="A153" s="4" t="n">
        <v>149</v>
      </c>
      <c r="B153" s="4" t="inlineStr">
        <is>
          <t>ORD-20260014</t>
        </is>
      </c>
      <c r="C153" s="4" t="inlineStr">
        <is>
          <t>2026-09-19</t>
        </is>
      </c>
      <c r="D153" s="4" t="inlineStr">
        <is>
          <t>CUST-1041</t>
        </is>
      </c>
      <c r="E153" s="5" t="inlineStr">
        <is>
          <t>彭思涵</t>
        </is>
      </c>
      <c r="F153" s="4" t="inlineStr">
        <is>
          <t>主食</t>
        </is>
      </c>
      <c r="G153" s="4" t="inlineStr">
        <is>
          <t>STA-05</t>
        </is>
      </c>
      <c r="H153" s="5" t="inlineStr">
        <is>
          <t>招牌古早味滷肉飯(大)</t>
        </is>
      </c>
      <c r="I153" s="6" t="n">
        <v>3</v>
      </c>
      <c r="J153" s="7" t="n">
        <v>80</v>
      </c>
      <c r="K153" s="7">
        <f>I153*J153</f>
        <v/>
      </c>
    </row>
    <row r="154">
      <c r="A154" s="8" t="n">
        <v>150</v>
      </c>
      <c r="B154" s="8" t="inlineStr">
        <is>
          <t>ORD-20260075</t>
        </is>
      </c>
      <c r="C154" s="8" t="inlineStr">
        <is>
          <t>2026-09-19</t>
        </is>
      </c>
      <c r="D154" s="8" t="inlineStr">
        <is>
          <t>CUST-1028</t>
        </is>
      </c>
      <c r="E154" s="9" t="inlineStr">
        <is>
          <t>蘇志強</t>
        </is>
      </c>
      <c r="F154" s="8" t="inlineStr">
        <is>
          <t>飲品</t>
        </is>
      </c>
      <c r="G154" s="8" t="inlineStr">
        <is>
          <t>DRK-04</t>
        </is>
      </c>
      <c r="H154" s="9" t="inlineStr">
        <is>
          <t>特調酸梅湯</t>
        </is>
      </c>
      <c r="I154" s="10" t="n">
        <v>10</v>
      </c>
      <c r="J154" s="11" t="n">
        <v>80</v>
      </c>
      <c r="K154" s="11">
        <f>I154*J154</f>
        <v/>
      </c>
    </row>
    <row r="155">
      <c r="A155" s="4" t="n">
        <v>151</v>
      </c>
      <c r="B155" s="4" t="inlineStr">
        <is>
          <t>ORD-20260134</t>
        </is>
      </c>
      <c r="C155" s="4" t="inlineStr">
        <is>
          <t>2026-09-19</t>
        </is>
      </c>
      <c r="D155" s="4" t="inlineStr">
        <is>
          <t>CUST-1014</t>
        </is>
      </c>
      <c r="E155" s="5" t="inlineStr">
        <is>
          <t>洪志偉</t>
        </is>
      </c>
      <c r="F155" s="4" t="inlineStr">
        <is>
          <t>蔬菜</t>
        </is>
      </c>
      <c r="G155" s="4" t="inlineStr">
        <is>
          <t>VEG-06</t>
        </is>
      </c>
      <c r="H155" s="5" t="inlineStr">
        <is>
          <t>吻仔魚莧菜</t>
        </is>
      </c>
      <c r="I155" s="6" t="n">
        <v>2</v>
      </c>
      <c r="J155" s="7" t="n">
        <v>140</v>
      </c>
      <c r="K155" s="7">
        <f>I155*J155</f>
        <v/>
      </c>
    </row>
    <row r="156">
      <c r="A156" s="8" t="n">
        <v>152</v>
      </c>
      <c r="B156" s="8" t="inlineStr">
        <is>
          <t>ORD-20260137</t>
        </is>
      </c>
      <c r="C156" s="8" t="inlineStr">
        <is>
          <t>2026-09-19</t>
        </is>
      </c>
      <c r="D156" s="8" t="inlineStr">
        <is>
          <t>CUST-1033</t>
        </is>
      </c>
      <c r="E156" s="9" t="inlineStr">
        <is>
          <t>元大設計工作室</t>
        </is>
      </c>
      <c r="F156" s="8" t="inlineStr">
        <is>
          <t>飲品</t>
        </is>
      </c>
      <c r="G156" s="8" t="inlineStr">
        <is>
          <t>DRK-02</t>
        </is>
      </c>
      <c r="H156" s="9" t="inlineStr">
        <is>
          <t>黑糖珍珠鮮奶</t>
        </is>
      </c>
      <c r="I156" s="10" t="n">
        <v>2</v>
      </c>
      <c r="J156" s="11" t="n">
        <v>90</v>
      </c>
      <c r="K156" s="11">
        <f>I156*J156</f>
        <v/>
      </c>
    </row>
    <row r="157">
      <c r="A157" s="4" t="n">
        <v>153</v>
      </c>
      <c r="B157" s="4" t="inlineStr">
        <is>
          <t>ORD-20260202</t>
        </is>
      </c>
      <c r="C157" s="4" t="inlineStr">
        <is>
          <t>2026-09-19</t>
        </is>
      </c>
      <c r="D157" s="4" t="inlineStr">
        <is>
          <t>CUST-1015</t>
        </is>
      </c>
      <c r="E157" s="5" t="inlineStr">
        <is>
          <t>郭宏達</t>
        </is>
      </c>
      <c r="F157" s="4" t="inlineStr">
        <is>
          <t>蔬菜</t>
        </is>
      </c>
      <c r="G157" s="4" t="inlineStr">
        <is>
          <t>VEG-04</t>
        </is>
      </c>
      <c r="H157" s="5" t="inlineStr">
        <is>
          <t>蒜炒地瓜葉</t>
        </is>
      </c>
      <c r="I157" s="6" t="n">
        <v>1</v>
      </c>
      <c r="J157" s="7" t="n">
        <v>90</v>
      </c>
      <c r="K157" s="7">
        <f>I157*J157</f>
        <v/>
      </c>
    </row>
    <row r="158">
      <c r="A158" s="8" t="n">
        <v>154</v>
      </c>
      <c r="B158" s="8" t="inlineStr">
        <is>
          <t>ORD-20260212</t>
        </is>
      </c>
      <c r="C158" s="8" t="inlineStr">
        <is>
          <t>2026-09-19</t>
        </is>
      </c>
      <c r="D158" s="8" t="inlineStr">
        <is>
          <t>CUST-1015</t>
        </is>
      </c>
      <c r="E158" s="9" t="inlineStr">
        <is>
          <t>郭宏達</t>
        </is>
      </c>
      <c r="F158" s="8" t="inlineStr">
        <is>
          <t>蔬菜</t>
        </is>
      </c>
      <c r="G158" s="8" t="inlineStr">
        <is>
          <t>VEG-02</t>
        </is>
      </c>
      <c r="H158" s="9" t="inlineStr">
        <is>
          <t>櫻花蝦炒高麗菜</t>
        </is>
      </c>
      <c r="I158" s="10" t="n">
        <v>1</v>
      </c>
      <c r="J158" s="11" t="n">
        <v>150</v>
      </c>
      <c r="K158" s="11">
        <f>I158*J158</f>
        <v/>
      </c>
    </row>
    <row r="159">
      <c r="A159" s="4" t="n">
        <v>155</v>
      </c>
      <c r="B159" s="4" t="inlineStr">
        <is>
          <t>ORD-20260231</t>
        </is>
      </c>
      <c r="C159" s="4" t="inlineStr">
        <is>
          <t>2026-09-19</t>
        </is>
      </c>
      <c r="D159" s="4" t="inlineStr">
        <is>
          <t>CUST-1003</t>
        </is>
      </c>
      <c r="E159" s="5" t="inlineStr">
        <is>
          <t>張淑芬</t>
        </is>
      </c>
      <c r="F159" s="4" t="inlineStr">
        <is>
          <t>肉品</t>
        </is>
      </c>
      <c r="G159" s="4" t="inlineStr">
        <is>
          <t>MEA-08</t>
        </is>
      </c>
      <c r="H159" s="5" t="inlineStr">
        <is>
          <t>麻油松阪豬</t>
        </is>
      </c>
      <c r="I159" s="6" t="n">
        <v>2</v>
      </c>
      <c r="J159" s="7" t="n">
        <v>250</v>
      </c>
      <c r="K159" s="7">
        <f>I159*J159</f>
        <v/>
      </c>
    </row>
    <row r="160">
      <c r="A160" s="8" t="n">
        <v>156</v>
      </c>
      <c r="B160" s="8" t="inlineStr">
        <is>
          <t>ORD-20260232</t>
        </is>
      </c>
      <c r="C160" s="8" t="inlineStr">
        <is>
          <t>2026-09-19</t>
        </is>
      </c>
      <c r="D160" s="8" t="inlineStr">
        <is>
          <t>CUST-1045</t>
        </is>
      </c>
      <c r="E160" s="9" t="inlineStr">
        <is>
          <t>翁淑真</t>
        </is>
      </c>
      <c r="F160" s="8" t="inlineStr">
        <is>
          <t>湯品</t>
        </is>
      </c>
      <c r="G160" s="8" t="inlineStr">
        <is>
          <t>SOU-01</t>
        </is>
      </c>
      <c r="H160" s="9" t="inlineStr">
        <is>
          <t>剝皮辣椒雞湯</t>
        </is>
      </c>
      <c r="I160" s="10" t="n">
        <v>1</v>
      </c>
      <c r="J160" s="11" t="n">
        <v>220</v>
      </c>
      <c r="K160" s="11">
        <f>I160*J160</f>
        <v/>
      </c>
    </row>
    <row r="161">
      <c r="A161" s="4" t="n">
        <v>157</v>
      </c>
      <c r="B161" s="4" t="inlineStr">
        <is>
          <t>ORD-20260248</t>
        </is>
      </c>
      <c r="C161" s="4" t="inlineStr">
        <is>
          <t>2026-09-19</t>
        </is>
      </c>
      <c r="D161" s="4" t="inlineStr">
        <is>
          <t>CUST-1043</t>
        </is>
      </c>
      <c r="E161" s="5" t="inlineStr">
        <is>
          <t>潘郁婷</t>
        </is>
      </c>
      <c r="F161" s="4" t="inlineStr">
        <is>
          <t>蔬菜</t>
        </is>
      </c>
      <c r="G161" s="4" t="inlineStr">
        <is>
          <t>VEG-04</t>
        </is>
      </c>
      <c r="H161" s="5" t="inlineStr">
        <is>
          <t>蒜炒地瓜葉</t>
        </is>
      </c>
      <c r="I161" s="6" t="n">
        <v>10</v>
      </c>
      <c r="J161" s="7" t="n">
        <v>90</v>
      </c>
      <c r="K161" s="7">
        <f>I161*J161</f>
        <v/>
      </c>
    </row>
    <row r="162">
      <c r="A162" s="8" t="n">
        <v>158</v>
      </c>
      <c r="B162" s="8" t="inlineStr">
        <is>
          <t>ORD-20260267</t>
        </is>
      </c>
      <c r="C162" s="8" t="inlineStr">
        <is>
          <t>2026-09-19</t>
        </is>
      </c>
      <c r="D162" s="8" t="inlineStr">
        <is>
          <t>CUST-1047</t>
        </is>
      </c>
      <c r="E162" s="9" t="inlineStr">
        <is>
          <t>江佩芳</t>
        </is>
      </c>
      <c r="F162" s="8" t="inlineStr">
        <is>
          <t>海鮮</t>
        </is>
      </c>
      <c r="G162" s="8" t="inlineStr">
        <is>
          <t>SEA-05</t>
        </is>
      </c>
      <c r="H162" s="9" t="inlineStr">
        <is>
          <t>乾煎虱目魚肚</t>
        </is>
      </c>
      <c r="I162" s="10" t="n">
        <v>6</v>
      </c>
      <c r="J162" s="11" t="n">
        <v>180</v>
      </c>
      <c r="K162" s="11">
        <f>I162*J162</f>
        <v/>
      </c>
    </row>
    <row r="163">
      <c r="A163" s="4" t="n">
        <v>159</v>
      </c>
      <c r="B163" s="4" t="inlineStr">
        <is>
          <t>ORD-20260288</t>
        </is>
      </c>
      <c r="C163" s="4" t="inlineStr">
        <is>
          <t>2026-09-19</t>
        </is>
      </c>
      <c r="D163" s="4" t="inlineStr">
        <is>
          <t>CUST-1023</t>
        </is>
      </c>
      <c r="E163" s="5" t="inlineStr">
        <is>
          <t>朱佳琪</t>
        </is>
      </c>
      <c r="F163" s="4" t="inlineStr">
        <is>
          <t>蔬菜</t>
        </is>
      </c>
      <c r="G163" s="4" t="inlineStr">
        <is>
          <t>VEG-02</t>
        </is>
      </c>
      <c r="H163" s="5" t="inlineStr">
        <is>
          <t>櫻花蝦炒高麗菜</t>
        </is>
      </c>
      <c r="I163" s="6" t="n">
        <v>4</v>
      </c>
      <c r="J163" s="7" t="n">
        <v>150</v>
      </c>
      <c r="K163" s="7">
        <f>I163*J163</f>
        <v/>
      </c>
    </row>
    <row r="164">
      <c r="A164" s="8" t="n">
        <v>160</v>
      </c>
      <c r="B164" s="8" t="inlineStr">
        <is>
          <t>ORD-20260301</t>
        </is>
      </c>
      <c r="C164" s="8" t="inlineStr">
        <is>
          <t>2026-09-19</t>
        </is>
      </c>
      <c r="D164" s="8" t="inlineStr">
        <is>
          <t>CUST-1002</t>
        </is>
      </c>
      <c r="E164" s="9" t="inlineStr">
        <is>
          <t>林志明</t>
        </is>
      </c>
      <c r="F164" s="8" t="inlineStr">
        <is>
          <t>飲品</t>
        </is>
      </c>
      <c r="G164" s="8" t="inlineStr">
        <is>
          <t>DRK-02</t>
        </is>
      </c>
      <c r="H164" s="9" t="inlineStr">
        <is>
          <t>黑糖珍珠鮮奶</t>
        </is>
      </c>
      <c r="I164" s="10" t="n">
        <v>3</v>
      </c>
      <c r="J164" s="11" t="n">
        <v>90</v>
      </c>
      <c r="K164" s="11">
        <f>I164*J164</f>
        <v/>
      </c>
    </row>
    <row r="165">
      <c r="A165" s="4" t="n">
        <v>161</v>
      </c>
      <c r="B165" s="4" t="inlineStr">
        <is>
          <t>ORD-20260312</t>
        </is>
      </c>
      <c r="C165" s="4" t="inlineStr">
        <is>
          <t>2026-09-19</t>
        </is>
      </c>
      <c r="D165" s="4" t="inlineStr">
        <is>
          <t>CUST-1048</t>
        </is>
      </c>
      <c r="E165" s="5" t="inlineStr">
        <is>
          <t>顏立威</t>
        </is>
      </c>
      <c r="F165" s="4" t="inlineStr">
        <is>
          <t>海鮮</t>
        </is>
      </c>
      <c r="G165" s="4" t="inlineStr">
        <is>
          <t>SEA-07</t>
        </is>
      </c>
      <c r="H165" s="5" t="inlineStr">
        <is>
          <t>生炒花枝</t>
        </is>
      </c>
      <c r="I165" s="6" t="n">
        <v>1</v>
      </c>
      <c r="J165" s="7" t="n">
        <v>200</v>
      </c>
      <c r="K165" s="7">
        <f>I165*J165</f>
        <v/>
      </c>
    </row>
    <row r="166">
      <c r="A166" s="8" t="n">
        <v>162</v>
      </c>
      <c r="B166" s="8" t="inlineStr">
        <is>
          <t>ORD-20260052</t>
        </is>
      </c>
      <c r="C166" s="8" t="inlineStr">
        <is>
          <t>2026-09-20</t>
        </is>
      </c>
      <c r="D166" s="8" t="inlineStr">
        <is>
          <t>CUST-1026</t>
        </is>
      </c>
      <c r="E166" s="9" t="inlineStr">
        <is>
          <t>何孟勳</t>
        </is>
      </c>
      <c r="F166" s="8" t="inlineStr">
        <is>
          <t>飲品</t>
        </is>
      </c>
      <c r="G166" s="8" t="inlineStr">
        <is>
          <t>DRK-02</t>
        </is>
      </c>
      <c r="H166" s="9" t="inlineStr">
        <is>
          <t>黑糖珍珠鮮奶</t>
        </is>
      </c>
      <c r="I166" s="10" t="n">
        <v>3</v>
      </c>
      <c r="J166" s="11" t="n">
        <v>90</v>
      </c>
      <c r="K166" s="11">
        <f>I166*J166</f>
        <v/>
      </c>
    </row>
    <row r="167">
      <c r="A167" s="4" t="n">
        <v>163</v>
      </c>
      <c r="B167" s="4" t="inlineStr">
        <is>
          <t>ORD-20260087</t>
        </is>
      </c>
      <c r="C167" s="4" t="inlineStr">
        <is>
          <t>2026-09-20</t>
        </is>
      </c>
      <c r="D167" s="4" t="inlineStr">
        <is>
          <t>CUST-1030</t>
        </is>
      </c>
      <c r="E167" s="5" t="inlineStr">
        <is>
          <t>呂建德</t>
        </is>
      </c>
      <c r="F167" s="4" t="inlineStr">
        <is>
          <t>海鮮</t>
        </is>
      </c>
      <c r="G167" s="4" t="inlineStr">
        <is>
          <t>SEA-06</t>
        </is>
      </c>
      <c r="H167" s="5" t="inlineStr">
        <is>
          <t>清蒸金目鱸魚片</t>
        </is>
      </c>
      <c r="I167" s="6" t="n">
        <v>1</v>
      </c>
      <c r="J167" s="7" t="n">
        <v>240</v>
      </c>
      <c r="K167" s="7">
        <f>I167*J167</f>
        <v/>
      </c>
    </row>
    <row r="168">
      <c r="A168" s="8" t="n">
        <v>164</v>
      </c>
      <c r="B168" s="8" t="inlineStr">
        <is>
          <t>ORD-20260107</t>
        </is>
      </c>
      <c r="C168" s="8" t="inlineStr">
        <is>
          <t>2026-09-20</t>
        </is>
      </c>
      <c r="D168" s="8" t="inlineStr">
        <is>
          <t>CUST-1024</t>
        </is>
      </c>
      <c r="E168" s="9" t="inlineStr">
        <is>
          <t>高銘賢</t>
        </is>
      </c>
      <c r="F168" s="8" t="inlineStr">
        <is>
          <t>冷盤</t>
        </is>
      </c>
      <c r="G168" s="8" t="inlineStr">
        <is>
          <t>APP-03</t>
        </is>
      </c>
      <c r="H168" s="9" t="inlineStr">
        <is>
          <t>紹興醉雞卷</t>
        </is>
      </c>
      <c r="I168" s="10" t="n">
        <v>3</v>
      </c>
      <c r="J168" s="11" t="n">
        <v>210</v>
      </c>
      <c r="K168" s="11">
        <f>I168*J168</f>
        <v/>
      </c>
    </row>
    <row r="169">
      <c r="A169" s="4" t="n">
        <v>165</v>
      </c>
      <c r="B169" s="4" t="inlineStr">
        <is>
          <t>ORD-20260129</t>
        </is>
      </c>
      <c r="C169" s="4" t="inlineStr">
        <is>
          <t>2026-09-20</t>
        </is>
      </c>
      <c r="D169" s="4" t="inlineStr">
        <is>
          <t>CUST-1033</t>
        </is>
      </c>
      <c r="E169" s="5" t="inlineStr">
        <is>
          <t>元大設計工作室</t>
        </is>
      </c>
      <c r="F169" s="4" t="inlineStr">
        <is>
          <t>海鮮</t>
        </is>
      </c>
      <c r="G169" s="4" t="inlineStr">
        <is>
          <t>SEA-05</t>
        </is>
      </c>
      <c r="H169" s="5" t="inlineStr">
        <is>
          <t>乾煎虱目魚肚</t>
        </is>
      </c>
      <c r="I169" s="6" t="n">
        <v>4</v>
      </c>
      <c r="J169" s="7" t="n">
        <v>180</v>
      </c>
      <c r="K169" s="7">
        <f>I169*J169</f>
        <v/>
      </c>
    </row>
    <row r="170">
      <c r="A170" s="8" t="n">
        <v>166</v>
      </c>
      <c r="B170" s="8" t="inlineStr">
        <is>
          <t>ORD-20260181</t>
        </is>
      </c>
      <c r="C170" s="8" t="inlineStr">
        <is>
          <t>2026-09-20</t>
        </is>
      </c>
      <c r="D170" s="8" t="inlineStr">
        <is>
          <t>CUST-1037</t>
        </is>
      </c>
      <c r="E170" s="9" t="inlineStr">
        <is>
          <t>晨曦文創公司</t>
        </is>
      </c>
      <c r="F170" s="8" t="inlineStr">
        <is>
          <t>飲品</t>
        </is>
      </c>
      <c r="G170" s="8" t="inlineStr">
        <is>
          <t>DRK-03</t>
        </is>
      </c>
      <c r="H170" s="9" t="inlineStr">
        <is>
          <t>台南冷泡高山青茶</t>
        </is>
      </c>
      <c r="I170" s="10" t="n">
        <v>3</v>
      </c>
      <c r="J170" s="11" t="n">
        <v>80</v>
      </c>
      <c r="K170" s="11">
        <f>I170*J170</f>
        <v/>
      </c>
    </row>
    <row r="171">
      <c r="A171" s="4" t="n">
        <v>167</v>
      </c>
      <c r="B171" s="4" t="inlineStr">
        <is>
          <t>ORD-20260203</t>
        </is>
      </c>
      <c r="C171" s="4" t="inlineStr">
        <is>
          <t>2026-09-20</t>
        </is>
      </c>
      <c r="D171" s="4" t="inlineStr">
        <is>
          <t>CUST-1043</t>
        </is>
      </c>
      <c r="E171" s="5" t="inlineStr">
        <is>
          <t>潘郁婷</t>
        </is>
      </c>
      <c r="F171" s="4" t="inlineStr">
        <is>
          <t>主食</t>
        </is>
      </c>
      <c r="G171" s="4" t="inlineStr">
        <is>
          <t>STA-03</t>
        </is>
      </c>
      <c r="H171" s="5" t="inlineStr">
        <is>
          <t>櫻花蝦炒飯</t>
        </is>
      </c>
      <c r="I171" s="6" t="n">
        <v>3</v>
      </c>
      <c r="J171" s="7" t="n">
        <v>150</v>
      </c>
      <c r="K171" s="7">
        <f>I171*J171</f>
        <v/>
      </c>
    </row>
    <row r="172">
      <c r="A172" s="8" t="n">
        <v>168</v>
      </c>
      <c r="B172" s="8" t="inlineStr">
        <is>
          <t>ORD-20260207</t>
        </is>
      </c>
      <c r="C172" s="8" t="inlineStr">
        <is>
          <t>2026-09-20</t>
        </is>
      </c>
      <c r="D172" s="8" t="inlineStr">
        <is>
          <t>CUST-1017</t>
        </is>
      </c>
      <c r="E172" s="9" t="inlineStr">
        <is>
          <t>廖健民</t>
        </is>
      </c>
      <c r="F172" s="8" t="inlineStr">
        <is>
          <t>肉品</t>
        </is>
      </c>
      <c r="G172" s="8" t="inlineStr">
        <is>
          <t>MEA-08</t>
        </is>
      </c>
      <c r="H172" s="9" t="inlineStr">
        <is>
          <t>麻油松阪豬</t>
        </is>
      </c>
      <c r="I172" s="10" t="n">
        <v>1</v>
      </c>
      <c r="J172" s="11" t="n">
        <v>250</v>
      </c>
      <c r="K172" s="11">
        <f>I172*J172</f>
        <v/>
      </c>
    </row>
    <row r="173">
      <c r="A173" s="4" t="n">
        <v>169</v>
      </c>
      <c r="B173" s="4" t="inlineStr">
        <is>
          <t>ORD-20260213</t>
        </is>
      </c>
      <c r="C173" s="4" t="inlineStr">
        <is>
          <t>2026-09-20</t>
        </is>
      </c>
      <c r="D173" s="4" t="inlineStr">
        <is>
          <t>CUST-1001</t>
        </is>
      </c>
      <c r="E173" s="5" t="inlineStr">
        <is>
          <t>陳建宏</t>
        </is>
      </c>
      <c r="F173" s="4" t="inlineStr">
        <is>
          <t>飲品</t>
        </is>
      </c>
      <c r="G173" s="4" t="inlineStr">
        <is>
          <t>DRK-05</t>
        </is>
      </c>
      <c r="H173" s="5" t="inlineStr">
        <is>
          <t>經典金桔檸檬汁</t>
        </is>
      </c>
      <c r="I173" s="6" t="n">
        <v>10</v>
      </c>
      <c r="J173" s="7" t="n">
        <v>85</v>
      </c>
      <c r="K173" s="7">
        <f>I173*J173</f>
        <v/>
      </c>
    </row>
    <row r="174">
      <c r="A174" s="8" t="n">
        <v>170</v>
      </c>
      <c r="B174" s="8" t="inlineStr">
        <is>
          <t>ORD-20260225</t>
        </is>
      </c>
      <c r="C174" s="8" t="inlineStr">
        <is>
          <t>2026-09-20</t>
        </is>
      </c>
      <c r="D174" s="8" t="inlineStr">
        <is>
          <t>CUST-1038</t>
        </is>
      </c>
      <c r="E174" s="9" t="inlineStr">
        <is>
          <t>鼎盛工程顧問</t>
        </is>
      </c>
      <c r="F174" s="8" t="inlineStr">
        <is>
          <t>蔬菜</t>
        </is>
      </c>
      <c r="G174" s="8" t="inlineStr">
        <is>
          <t>VEG-06</t>
        </is>
      </c>
      <c r="H174" s="9" t="inlineStr">
        <is>
          <t>吻仔魚莧菜</t>
        </is>
      </c>
      <c r="I174" s="10" t="n">
        <v>2</v>
      </c>
      <c r="J174" s="11" t="n">
        <v>140</v>
      </c>
      <c r="K174" s="11">
        <f>I174*J174</f>
        <v/>
      </c>
    </row>
    <row r="175">
      <c r="A175" s="4" t="n">
        <v>171</v>
      </c>
      <c r="B175" s="4" t="inlineStr">
        <is>
          <t>ORD-20260307</t>
        </is>
      </c>
      <c r="C175" s="4" t="inlineStr">
        <is>
          <t>2026-09-20</t>
        </is>
      </c>
      <c r="D175" s="4" t="inlineStr">
        <is>
          <t>CUST-1029</t>
        </is>
      </c>
      <c r="E175" s="5" t="inlineStr">
        <is>
          <t>莊佩珊</t>
        </is>
      </c>
      <c r="F175" s="4" t="inlineStr">
        <is>
          <t>冷盤</t>
        </is>
      </c>
      <c r="G175" s="4" t="inlineStr">
        <is>
          <t>APP-03</t>
        </is>
      </c>
      <c r="H175" s="5" t="inlineStr">
        <is>
          <t>紹興醉雞卷</t>
        </is>
      </c>
      <c r="I175" s="6" t="n">
        <v>3</v>
      </c>
      <c r="J175" s="7" t="n">
        <v>210</v>
      </c>
      <c r="K175" s="7">
        <f>I175*J175</f>
        <v/>
      </c>
    </row>
    <row r="176">
      <c r="A176" s="8" t="n">
        <v>172</v>
      </c>
      <c r="B176" s="8" t="inlineStr">
        <is>
          <t>ORD-20260085</t>
        </is>
      </c>
      <c r="C176" s="8" t="inlineStr">
        <is>
          <t>2026-09-21</t>
        </is>
      </c>
      <c r="D176" s="8" t="inlineStr">
        <is>
          <t>CUST-1017</t>
        </is>
      </c>
      <c r="E176" s="9" t="inlineStr">
        <is>
          <t>廖健民</t>
        </is>
      </c>
      <c r="F176" s="8" t="inlineStr">
        <is>
          <t>肉品</t>
        </is>
      </c>
      <c r="G176" s="8" t="inlineStr">
        <is>
          <t>MEA-07</t>
        </is>
      </c>
      <c r="H176" s="9" t="inlineStr">
        <is>
          <t>薑絲炒大腸</t>
        </is>
      </c>
      <c r="I176" s="10" t="n">
        <v>2</v>
      </c>
      <c r="J176" s="11" t="n">
        <v>210</v>
      </c>
      <c r="K176" s="11">
        <f>I176*J176</f>
        <v/>
      </c>
    </row>
    <row r="177">
      <c r="A177" s="4" t="n">
        <v>173</v>
      </c>
      <c r="B177" s="4" t="inlineStr">
        <is>
          <t>ORD-20260130</t>
        </is>
      </c>
      <c r="C177" s="4" t="inlineStr">
        <is>
          <t>2026-09-21</t>
        </is>
      </c>
      <c r="D177" s="4" t="inlineStr">
        <is>
          <t>CUST-1026</t>
        </is>
      </c>
      <c r="E177" s="5" t="inlineStr">
        <is>
          <t>何孟勳</t>
        </is>
      </c>
      <c r="F177" s="4" t="inlineStr">
        <is>
          <t>飲品</t>
        </is>
      </c>
      <c r="G177" s="4" t="inlineStr">
        <is>
          <t>DRK-04</t>
        </is>
      </c>
      <c r="H177" s="5" t="inlineStr">
        <is>
          <t>特調酸梅湯</t>
        </is>
      </c>
      <c r="I177" s="6" t="n">
        <v>2</v>
      </c>
      <c r="J177" s="7" t="n">
        <v>80</v>
      </c>
      <c r="K177" s="7">
        <f>I177*J177</f>
        <v/>
      </c>
    </row>
    <row r="178">
      <c r="A178" s="8" t="n">
        <v>174</v>
      </c>
      <c r="B178" s="8" t="inlineStr">
        <is>
          <t>ORD-20260171</t>
        </is>
      </c>
      <c r="C178" s="8" t="inlineStr">
        <is>
          <t>2026-09-21</t>
        </is>
      </c>
      <c r="D178" s="8" t="inlineStr">
        <is>
          <t>CUST-1022</t>
        </is>
      </c>
      <c r="E178" s="9" t="inlineStr">
        <is>
          <t>孫宇軒</t>
        </is>
      </c>
      <c r="F178" s="8" t="inlineStr">
        <is>
          <t>蔬菜</t>
        </is>
      </c>
      <c r="G178" s="8" t="inlineStr">
        <is>
          <t>VEG-03</t>
        </is>
      </c>
      <c r="H178" s="9" t="inlineStr">
        <is>
          <t>樹子炒水蓮</t>
        </is>
      </c>
      <c r="I178" s="10" t="n">
        <v>2</v>
      </c>
      <c r="J178" s="11" t="n">
        <v>140</v>
      </c>
      <c r="K178" s="11">
        <f>I178*J178</f>
        <v/>
      </c>
    </row>
    <row r="179">
      <c r="A179" s="4" t="n">
        <v>175</v>
      </c>
      <c r="B179" s="4" t="inlineStr">
        <is>
          <t>ORD-20260193</t>
        </is>
      </c>
      <c r="C179" s="4" t="inlineStr">
        <is>
          <t>2026-09-21</t>
        </is>
      </c>
      <c r="D179" s="4" t="inlineStr">
        <is>
          <t>CUST-1016</t>
        </is>
      </c>
      <c r="E179" s="5" t="inlineStr">
        <is>
          <t>曾美慧</t>
        </is>
      </c>
      <c r="F179" s="4" t="inlineStr">
        <is>
          <t>冷盤</t>
        </is>
      </c>
      <c r="G179" s="4" t="inlineStr">
        <is>
          <t>APP-06</t>
        </is>
      </c>
      <c r="H179" s="5" t="inlineStr">
        <is>
          <t>涼拌海蜇皮</t>
        </is>
      </c>
      <c r="I179" s="6" t="n">
        <v>2</v>
      </c>
      <c r="J179" s="7" t="n">
        <v>180</v>
      </c>
      <c r="K179" s="7">
        <f>I179*J179</f>
        <v/>
      </c>
    </row>
    <row r="180">
      <c r="A180" s="8" t="n">
        <v>176</v>
      </c>
      <c r="B180" s="8" t="inlineStr">
        <is>
          <t>ORD-20260281</t>
        </is>
      </c>
      <c r="C180" s="8" t="inlineStr">
        <is>
          <t>2026-09-21</t>
        </is>
      </c>
      <c r="D180" s="8" t="inlineStr">
        <is>
          <t>CUST-1041</t>
        </is>
      </c>
      <c r="E180" s="9" t="inlineStr">
        <is>
          <t>彭思涵</t>
        </is>
      </c>
      <c r="F180" s="8" t="inlineStr">
        <is>
          <t>飲品</t>
        </is>
      </c>
      <c r="G180" s="8" t="inlineStr">
        <is>
          <t>DRK-05</t>
        </is>
      </c>
      <c r="H180" s="9" t="inlineStr">
        <is>
          <t>經典金桔檸檬汁</t>
        </is>
      </c>
      <c r="I180" s="10" t="n">
        <v>6</v>
      </c>
      <c r="J180" s="11" t="n">
        <v>85</v>
      </c>
      <c r="K180" s="11">
        <f>I180*J180</f>
        <v/>
      </c>
    </row>
    <row r="181">
      <c r="A181" s="4" t="n">
        <v>177</v>
      </c>
      <c r="B181" s="4" t="inlineStr">
        <is>
          <t>ORD-20260009</t>
        </is>
      </c>
      <c r="C181" s="4" t="inlineStr">
        <is>
          <t>2026-09-22</t>
        </is>
      </c>
      <c r="D181" s="4" t="inlineStr">
        <is>
          <t>CUST-1018</t>
        </is>
      </c>
      <c r="E181" s="5" t="inlineStr">
        <is>
          <t>邱柏翰</t>
        </is>
      </c>
      <c r="F181" s="4" t="inlineStr">
        <is>
          <t>肉品</t>
        </is>
      </c>
      <c r="G181" s="4" t="inlineStr">
        <is>
          <t>MEA-03</t>
        </is>
      </c>
      <c r="H181" s="5" t="inlineStr">
        <is>
          <t>客家小炒</t>
        </is>
      </c>
      <c r="I181" s="6" t="n">
        <v>1</v>
      </c>
      <c r="J181" s="7" t="n">
        <v>190</v>
      </c>
      <c r="K181" s="7">
        <f>I181*J181</f>
        <v/>
      </c>
    </row>
    <row r="182">
      <c r="A182" s="8" t="n">
        <v>178</v>
      </c>
      <c r="B182" s="8" t="inlineStr">
        <is>
          <t>ORD-20260010</t>
        </is>
      </c>
      <c r="C182" s="8" t="inlineStr">
        <is>
          <t>2026-09-22</t>
        </is>
      </c>
      <c r="D182" s="8" t="inlineStr">
        <is>
          <t>CUST-1007</t>
        </is>
      </c>
      <c r="E182" s="9" t="inlineStr">
        <is>
          <t>吳美玲</t>
        </is>
      </c>
      <c r="F182" s="8" t="inlineStr">
        <is>
          <t>冷盤</t>
        </is>
      </c>
      <c r="G182" s="8" t="inlineStr">
        <is>
          <t>APP-06</t>
        </is>
      </c>
      <c r="H182" s="9" t="inlineStr">
        <is>
          <t>涼拌海蜇皮</t>
        </is>
      </c>
      <c r="I182" s="10" t="n">
        <v>3</v>
      </c>
      <c r="J182" s="11" t="n">
        <v>180</v>
      </c>
      <c r="K182" s="11">
        <f>I182*J182</f>
        <v/>
      </c>
    </row>
    <row r="183">
      <c r="A183" s="4" t="n">
        <v>179</v>
      </c>
      <c r="B183" s="4" t="inlineStr">
        <is>
          <t>ORD-20260058</t>
        </is>
      </c>
      <c r="C183" s="4" t="inlineStr">
        <is>
          <t>2026-09-22</t>
        </is>
      </c>
      <c r="D183" s="4" t="inlineStr">
        <is>
          <t>CUST-1005</t>
        </is>
      </c>
      <c r="E183" s="5" t="inlineStr">
        <is>
          <t>李雅婷</t>
        </is>
      </c>
      <c r="F183" s="4" t="inlineStr">
        <is>
          <t>湯品</t>
        </is>
      </c>
      <c r="G183" s="4" t="inlineStr">
        <is>
          <t>SOU-04</t>
        </is>
      </c>
      <c r="H183" s="5" t="inlineStr">
        <is>
          <t>薑絲蛤蜊湯</t>
        </is>
      </c>
      <c r="I183" s="6" t="n">
        <v>1</v>
      </c>
      <c r="J183" s="7" t="n">
        <v>130</v>
      </c>
      <c r="K183" s="7">
        <f>I183*J183</f>
        <v/>
      </c>
    </row>
    <row r="184">
      <c r="A184" s="8" t="n">
        <v>180</v>
      </c>
      <c r="B184" s="8" t="inlineStr">
        <is>
          <t>ORD-20260158</t>
        </is>
      </c>
      <c r="C184" s="8" t="inlineStr">
        <is>
          <t>2026-09-22</t>
        </is>
      </c>
      <c r="D184" s="8" t="inlineStr">
        <is>
          <t>CUST-1035</t>
        </is>
      </c>
      <c r="E184" s="9" t="inlineStr">
        <is>
          <t>台塑顧問公司</t>
        </is>
      </c>
      <c r="F184" s="8" t="inlineStr">
        <is>
          <t>湯品</t>
        </is>
      </c>
      <c r="G184" s="8" t="inlineStr">
        <is>
          <t>SOU-01</t>
        </is>
      </c>
      <c r="H184" s="9" t="inlineStr">
        <is>
          <t>剝皮辣椒雞湯</t>
        </is>
      </c>
      <c r="I184" s="10" t="n">
        <v>4</v>
      </c>
      <c r="J184" s="11" t="n">
        <v>220</v>
      </c>
      <c r="K184" s="11">
        <f>I184*J184</f>
        <v/>
      </c>
    </row>
    <row r="185">
      <c r="A185" s="4" t="n">
        <v>181</v>
      </c>
      <c r="B185" s="4" t="inlineStr">
        <is>
          <t>ORD-20260195</t>
        </is>
      </c>
      <c r="C185" s="4" t="inlineStr">
        <is>
          <t>2026-09-22</t>
        </is>
      </c>
      <c r="D185" s="4" t="inlineStr">
        <is>
          <t>CUST-1002</t>
        </is>
      </c>
      <c r="E185" s="5" t="inlineStr">
        <is>
          <t>林志明</t>
        </is>
      </c>
      <c r="F185" s="4" t="inlineStr">
        <is>
          <t>湯品</t>
        </is>
      </c>
      <c r="G185" s="4" t="inlineStr">
        <is>
          <t>SOU-03</t>
        </is>
      </c>
      <c r="H185" s="5" t="inlineStr">
        <is>
          <t>鮮魚味噌豆腐湯</t>
        </is>
      </c>
      <c r="I185" s="6" t="n">
        <v>2</v>
      </c>
      <c r="J185" s="7" t="n">
        <v>160</v>
      </c>
      <c r="K185" s="7">
        <f>I185*J185</f>
        <v/>
      </c>
    </row>
    <row r="186">
      <c r="A186" s="8" t="n">
        <v>182</v>
      </c>
      <c r="B186" s="8" t="inlineStr">
        <is>
          <t>ORD-20260266</t>
        </is>
      </c>
      <c r="C186" s="8" t="inlineStr">
        <is>
          <t>2026-09-22</t>
        </is>
      </c>
      <c r="D186" s="8" t="inlineStr">
        <is>
          <t>CUST-1033</t>
        </is>
      </c>
      <c r="E186" s="9" t="inlineStr">
        <is>
          <t>元大設計工作室</t>
        </is>
      </c>
      <c r="F186" s="8" t="inlineStr">
        <is>
          <t>海鮮</t>
        </is>
      </c>
      <c r="G186" s="8" t="inlineStr">
        <is>
          <t>SEA-03</t>
        </is>
      </c>
      <c r="H186" s="9" t="inlineStr">
        <is>
          <t>塔香炒蛤蜊</t>
        </is>
      </c>
      <c r="I186" s="10" t="n">
        <v>1</v>
      </c>
      <c r="J186" s="11" t="n">
        <v>190</v>
      </c>
      <c r="K186" s="11">
        <f>I186*J186</f>
        <v/>
      </c>
    </row>
    <row r="187">
      <c r="A187" s="4" t="n">
        <v>183</v>
      </c>
      <c r="B187" s="4" t="inlineStr">
        <is>
          <t>ORD-20260280</t>
        </is>
      </c>
      <c r="C187" s="4" t="inlineStr">
        <is>
          <t>2026-09-22</t>
        </is>
      </c>
      <c r="D187" s="4" t="inlineStr">
        <is>
          <t>CUST-1044</t>
        </is>
      </c>
      <c r="E187" s="5" t="inlineStr">
        <is>
          <t>柯宗憲</t>
        </is>
      </c>
      <c r="F187" s="4" t="inlineStr">
        <is>
          <t>湯品</t>
        </is>
      </c>
      <c r="G187" s="4" t="inlineStr">
        <is>
          <t>SOU-06</t>
        </is>
      </c>
      <c r="H187" s="5" t="inlineStr">
        <is>
          <t>貢丸蘿蔔排骨湯</t>
        </is>
      </c>
      <c r="I187" s="6" t="n">
        <v>3</v>
      </c>
      <c r="J187" s="7" t="n">
        <v>120</v>
      </c>
      <c r="K187" s="7">
        <f>I187*J187</f>
        <v/>
      </c>
    </row>
    <row r="188">
      <c r="A188" s="8" t="n">
        <v>184</v>
      </c>
      <c r="B188" s="8" t="inlineStr">
        <is>
          <t>ORD-20260063</t>
        </is>
      </c>
      <c r="C188" s="8" t="inlineStr">
        <is>
          <t>2026-09-23</t>
        </is>
      </c>
      <c r="D188" s="8" t="inlineStr">
        <is>
          <t>CUST-1028</t>
        </is>
      </c>
      <c r="E188" s="9" t="inlineStr">
        <is>
          <t>蘇志強</t>
        </is>
      </c>
      <c r="F188" s="8" t="inlineStr">
        <is>
          <t>蔬菜</t>
        </is>
      </c>
      <c r="G188" s="8" t="inlineStr">
        <is>
          <t>VEG-05</t>
        </is>
      </c>
      <c r="H188" s="9" t="inlineStr">
        <is>
          <t>鹹蛋苦瓜</t>
        </is>
      </c>
      <c r="I188" s="10" t="n">
        <v>5</v>
      </c>
      <c r="J188" s="11" t="n">
        <v>160</v>
      </c>
      <c r="K188" s="11">
        <f>I188*J188</f>
        <v/>
      </c>
    </row>
    <row r="189">
      <c r="A189" s="4" t="n">
        <v>185</v>
      </c>
      <c r="B189" s="4" t="inlineStr">
        <is>
          <t>ORD-20260109</t>
        </is>
      </c>
      <c r="C189" s="4" t="inlineStr">
        <is>
          <t>2026-09-23</t>
        </is>
      </c>
      <c r="D189" s="4" t="inlineStr">
        <is>
          <t>CUST-1050</t>
        </is>
      </c>
      <c r="E189" s="5" t="inlineStr">
        <is>
          <t>范明達</t>
        </is>
      </c>
      <c r="F189" s="4" t="inlineStr">
        <is>
          <t>主食</t>
        </is>
      </c>
      <c r="G189" s="4" t="inlineStr">
        <is>
          <t>STA-01</t>
        </is>
      </c>
      <c r="H189" s="5" t="inlineStr">
        <is>
          <t>台式古早味炒米粉</t>
        </is>
      </c>
      <c r="I189" s="6" t="n">
        <v>4</v>
      </c>
      <c r="J189" s="7" t="n">
        <v>120</v>
      </c>
      <c r="K189" s="7">
        <f>I189*J189</f>
        <v/>
      </c>
    </row>
    <row r="190">
      <c r="A190" s="8" t="n">
        <v>186</v>
      </c>
      <c r="B190" s="8" t="inlineStr">
        <is>
          <t>ORD-20260174</t>
        </is>
      </c>
      <c r="C190" s="8" t="inlineStr">
        <is>
          <t>2026-09-23</t>
        </is>
      </c>
      <c r="D190" s="8" t="inlineStr">
        <is>
          <t>CUST-1015</t>
        </is>
      </c>
      <c r="E190" s="9" t="inlineStr">
        <is>
          <t>郭宏達</t>
        </is>
      </c>
      <c r="F190" s="8" t="inlineStr">
        <is>
          <t>飲品</t>
        </is>
      </c>
      <c r="G190" s="8" t="inlineStr">
        <is>
          <t>DRK-01</t>
        </is>
      </c>
      <c r="H190" s="9" t="inlineStr">
        <is>
          <t>古早味冬瓜檸檬</t>
        </is>
      </c>
      <c r="I190" s="10" t="n">
        <v>1</v>
      </c>
      <c r="J190" s="11" t="n">
        <v>80</v>
      </c>
      <c r="K190" s="11">
        <f>I190*J190</f>
        <v/>
      </c>
    </row>
    <row r="191">
      <c r="A191" s="4" t="n">
        <v>187</v>
      </c>
      <c r="B191" s="4" t="inlineStr">
        <is>
          <t>ORD-20260206</t>
        </is>
      </c>
      <c r="C191" s="4" t="inlineStr">
        <is>
          <t>2026-09-23</t>
        </is>
      </c>
      <c r="D191" s="4" t="inlineStr">
        <is>
          <t>CUST-1045</t>
        </is>
      </c>
      <c r="E191" s="5" t="inlineStr">
        <is>
          <t>翁淑真</t>
        </is>
      </c>
      <c r="F191" s="4" t="inlineStr">
        <is>
          <t>湯品</t>
        </is>
      </c>
      <c r="G191" s="4" t="inlineStr">
        <is>
          <t>SOU-01</t>
        </is>
      </c>
      <c r="H191" s="5" t="inlineStr">
        <is>
          <t>剝皮辣椒雞湯</t>
        </is>
      </c>
      <c r="I191" s="6" t="n">
        <v>2</v>
      </c>
      <c r="J191" s="7" t="n">
        <v>220</v>
      </c>
      <c r="K191" s="7">
        <f>I191*J191</f>
        <v/>
      </c>
    </row>
    <row r="192">
      <c r="A192" s="8" t="n">
        <v>188</v>
      </c>
      <c r="B192" s="8" t="inlineStr">
        <is>
          <t>ORD-20260269</t>
        </is>
      </c>
      <c r="C192" s="8" t="inlineStr">
        <is>
          <t>2026-09-23</t>
        </is>
      </c>
      <c r="D192" s="8" t="inlineStr">
        <is>
          <t>CUST-1022</t>
        </is>
      </c>
      <c r="E192" s="9" t="inlineStr">
        <is>
          <t>孫宇軒</t>
        </is>
      </c>
      <c r="F192" s="8" t="inlineStr">
        <is>
          <t>主食</t>
        </is>
      </c>
      <c r="G192" s="8" t="inlineStr">
        <is>
          <t>STA-01</t>
        </is>
      </c>
      <c r="H192" s="9" t="inlineStr">
        <is>
          <t>台式古早味炒米粉</t>
        </is>
      </c>
      <c r="I192" s="10" t="n">
        <v>10</v>
      </c>
      <c r="J192" s="11" t="n">
        <v>120</v>
      </c>
      <c r="K192" s="11">
        <f>I192*J192</f>
        <v/>
      </c>
    </row>
    <row r="193">
      <c r="A193" s="4" t="n">
        <v>189</v>
      </c>
      <c r="B193" s="4" t="inlineStr">
        <is>
          <t>ORD-20260127</t>
        </is>
      </c>
      <c r="C193" s="4" t="inlineStr">
        <is>
          <t>2026-09-24</t>
        </is>
      </c>
      <c r="D193" s="4" t="inlineStr">
        <is>
          <t>CUST-1028</t>
        </is>
      </c>
      <c r="E193" s="5" t="inlineStr">
        <is>
          <t>蘇志強</t>
        </is>
      </c>
      <c r="F193" s="4" t="inlineStr">
        <is>
          <t>冷盤</t>
        </is>
      </c>
      <c r="G193" s="4" t="inlineStr">
        <is>
          <t>APP-05</t>
        </is>
      </c>
      <c r="H193" s="5" t="inlineStr">
        <is>
          <t>黃金皮蛋豆腐</t>
        </is>
      </c>
      <c r="I193" s="6" t="n">
        <v>2</v>
      </c>
      <c r="J193" s="7" t="n">
        <v>90</v>
      </c>
      <c r="K193" s="7">
        <f>I193*J193</f>
        <v/>
      </c>
    </row>
    <row r="194">
      <c r="A194" s="8" t="n">
        <v>190</v>
      </c>
      <c r="B194" s="8" t="inlineStr">
        <is>
          <t>ORD-20260179</t>
        </is>
      </c>
      <c r="C194" s="8" t="inlineStr">
        <is>
          <t>2026-09-24</t>
        </is>
      </c>
      <c r="D194" s="8" t="inlineStr">
        <is>
          <t>CUST-1011</t>
        </is>
      </c>
      <c r="E194" s="9" t="inlineStr">
        <is>
          <t>許文彬</t>
        </is>
      </c>
      <c r="F194" s="8" t="inlineStr">
        <is>
          <t>主食</t>
        </is>
      </c>
      <c r="G194" s="8" t="inlineStr">
        <is>
          <t>STA-04</t>
        </is>
      </c>
      <c r="H194" s="9" t="inlineStr">
        <is>
          <t>烏魚子炒飯</t>
        </is>
      </c>
      <c r="I194" s="10" t="n">
        <v>1</v>
      </c>
      <c r="J194" s="11" t="n">
        <v>220</v>
      </c>
      <c r="K194" s="11">
        <f>I194*J194</f>
        <v/>
      </c>
    </row>
    <row r="195">
      <c r="A195" s="4" t="n">
        <v>191</v>
      </c>
      <c r="B195" s="4" t="inlineStr">
        <is>
          <t>ORD-20260189</t>
        </is>
      </c>
      <c r="C195" s="4" t="inlineStr">
        <is>
          <t>2026-09-24</t>
        </is>
      </c>
      <c r="D195" s="4" t="inlineStr">
        <is>
          <t>CUST-1041</t>
        </is>
      </c>
      <c r="E195" s="5" t="inlineStr">
        <is>
          <t>彭思涵</t>
        </is>
      </c>
      <c r="F195" s="4" t="inlineStr">
        <is>
          <t>湯品</t>
        </is>
      </c>
      <c r="G195" s="4" t="inlineStr">
        <is>
          <t>SOU-01</t>
        </is>
      </c>
      <c r="H195" s="5" t="inlineStr">
        <is>
          <t>剝皮辣椒雞湯</t>
        </is>
      </c>
      <c r="I195" s="6" t="n">
        <v>1</v>
      </c>
      <c r="J195" s="7" t="n">
        <v>220</v>
      </c>
      <c r="K195" s="7">
        <f>I195*J195</f>
        <v/>
      </c>
    </row>
    <row r="196">
      <c r="A196" s="8" t="n">
        <v>192</v>
      </c>
      <c r="B196" s="8" t="inlineStr">
        <is>
          <t>ORD-20260035</t>
        </is>
      </c>
      <c r="C196" s="8" t="inlineStr">
        <is>
          <t>2026-09-25</t>
        </is>
      </c>
      <c r="D196" s="8" t="inlineStr">
        <is>
          <t>CUST-1039</t>
        </is>
      </c>
      <c r="E196" s="9" t="inlineStr">
        <is>
          <t>華碩雲端部門</t>
        </is>
      </c>
      <c r="F196" s="8" t="inlineStr">
        <is>
          <t>湯品</t>
        </is>
      </c>
      <c r="G196" s="8" t="inlineStr">
        <is>
          <t>SOU-01</t>
        </is>
      </c>
      <c r="H196" s="9" t="inlineStr">
        <is>
          <t>剝皮辣椒雞湯</t>
        </is>
      </c>
      <c r="I196" s="10" t="n">
        <v>8</v>
      </c>
      <c r="J196" s="11" t="n">
        <v>220</v>
      </c>
      <c r="K196" s="11">
        <f>I196*J196</f>
        <v/>
      </c>
    </row>
    <row r="197">
      <c r="A197" s="4" t="n">
        <v>193</v>
      </c>
      <c r="B197" s="4" t="inlineStr">
        <is>
          <t>ORD-20260114</t>
        </is>
      </c>
      <c r="C197" s="4" t="inlineStr">
        <is>
          <t>2026-09-25</t>
        </is>
      </c>
      <c r="D197" s="4" t="inlineStr">
        <is>
          <t>CUST-1003</t>
        </is>
      </c>
      <c r="E197" s="5" t="inlineStr">
        <is>
          <t>張淑芬</t>
        </is>
      </c>
      <c r="F197" s="4" t="inlineStr">
        <is>
          <t>湯品</t>
        </is>
      </c>
      <c r="G197" s="4" t="inlineStr">
        <is>
          <t>SOU-02</t>
        </is>
      </c>
      <c r="H197" s="5" t="inlineStr">
        <is>
          <t>鳳梨苦瓜雞湯</t>
        </is>
      </c>
      <c r="I197" s="6" t="n">
        <v>1</v>
      </c>
      <c r="J197" s="7" t="n">
        <v>210</v>
      </c>
      <c r="K197" s="7">
        <f>I197*J197</f>
        <v/>
      </c>
    </row>
    <row r="198">
      <c r="A198" s="8" t="n">
        <v>194</v>
      </c>
      <c r="B198" s="8" t="inlineStr">
        <is>
          <t>ORD-20260124</t>
        </is>
      </c>
      <c r="C198" s="8" t="inlineStr">
        <is>
          <t>2026-09-25</t>
        </is>
      </c>
      <c r="D198" s="8" t="inlineStr">
        <is>
          <t>CUST-1037</t>
        </is>
      </c>
      <c r="E198" s="9" t="inlineStr">
        <is>
          <t>晨曦文創公司</t>
        </is>
      </c>
      <c r="F198" s="8" t="inlineStr">
        <is>
          <t>肉品</t>
        </is>
      </c>
      <c r="G198" s="8" t="inlineStr">
        <is>
          <t>MEA-06</t>
        </is>
      </c>
      <c r="H198" s="9" t="inlineStr">
        <is>
          <t>香酥炸排骨</t>
        </is>
      </c>
      <c r="I198" s="10" t="n">
        <v>2</v>
      </c>
      <c r="J198" s="11" t="n">
        <v>160</v>
      </c>
      <c r="K198" s="11">
        <f>I198*J198</f>
        <v/>
      </c>
    </row>
    <row r="199">
      <c r="A199" s="4" t="n">
        <v>195</v>
      </c>
      <c r="B199" s="4" t="inlineStr">
        <is>
          <t>ORD-20260132</t>
        </is>
      </c>
      <c r="C199" s="4" t="inlineStr">
        <is>
          <t>2026-09-25</t>
        </is>
      </c>
      <c r="D199" s="4" t="inlineStr">
        <is>
          <t>CUST-1044</t>
        </is>
      </c>
      <c r="E199" s="5" t="inlineStr">
        <is>
          <t>柯宗憲</t>
        </is>
      </c>
      <c r="F199" s="4" t="inlineStr">
        <is>
          <t>肉品</t>
        </is>
      </c>
      <c r="G199" s="4" t="inlineStr">
        <is>
          <t>MEA-05</t>
        </is>
      </c>
      <c r="H199" s="5" t="inlineStr">
        <is>
          <t>糖醋里肌肉</t>
        </is>
      </c>
      <c r="I199" s="6" t="n">
        <v>2</v>
      </c>
      <c r="J199" s="7" t="n">
        <v>200</v>
      </c>
      <c r="K199" s="7">
        <f>I199*J199</f>
        <v/>
      </c>
    </row>
    <row r="200">
      <c r="A200" s="8" t="n">
        <v>196</v>
      </c>
      <c r="B200" s="8" t="inlineStr">
        <is>
          <t>ORD-20260142</t>
        </is>
      </c>
      <c r="C200" s="8" t="inlineStr">
        <is>
          <t>2026-09-25</t>
        </is>
      </c>
      <c r="D200" s="8" t="inlineStr">
        <is>
          <t>CUST-1032</t>
        </is>
      </c>
      <c r="E200" s="9" t="inlineStr">
        <is>
          <t>國泰聯合事務所</t>
        </is>
      </c>
      <c r="F200" s="8" t="inlineStr">
        <is>
          <t>蔬菜</t>
        </is>
      </c>
      <c r="G200" s="8" t="inlineStr">
        <is>
          <t>VEG-04</t>
        </is>
      </c>
      <c r="H200" s="9" t="inlineStr">
        <is>
          <t>蒜炒地瓜葉</t>
        </is>
      </c>
      <c r="I200" s="10" t="n">
        <v>1</v>
      </c>
      <c r="J200" s="11" t="n">
        <v>90</v>
      </c>
      <c r="K200" s="11">
        <f>I200*J200</f>
        <v/>
      </c>
    </row>
    <row r="201">
      <c r="A201" s="4" t="n">
        <v>197</v>
      </c>
      <c r="B201" s="4" t="inlineStr">
        <is>
          <t>ORD-20260162</t>
        </is>
      </c>
      <c r="C201" s="4" t="inlineStr">
        <is>
          <t>2026-09-25</t>
        </is>
      </c>
      <c r="D201" s="4" t="inlineStr">
        <is>
          <t>CUST-1027</t>
        </is>
      </c>
      <c r="E201" s="5" t="inlineStr">
        <is>
          <t>羅雅惠</t>
        </is>
      </c>
      <c r="F201" s="4" t="inlineStr">
        <is>
          <t>湯品</t>
        </is>
      </c>
      <c r="G201" s="4" t="inlineStr">
        <is>
          <t>SOU-06</t>
        </is>
      </c>
      <c r="H201" s="5" t="inlineStr">
        <is>
          <t>貢丸蘿蔔排骨湯</t>
        </is>
      </c>
      <c r="I201" s="6" t="n">
        <v>10</v>
      </c>
      <c r="J201" s="7" t="n">
        <v>120</v>
      </c>
      <c r="K201" s="7">
        <f>I201*J201</f>
        <v/>
      </c>
    </row>
    <row r="202">
      <c r="A202" s="8" t="n">
        <v>198</v>
      </c>
      <c r="B202" s="8" t="inlineStr">
        <is>
          <t>ORD-20260165</t>
        </is>
      </c>
      <c r="C202" s="8" t="inlineStr">
        <is>
          <t>2026-09-25</t>
        </is>
      </c>
      <c r="D202" s="8" t="inlineStr">
        <is>
          <t>CUST-1022</t>
        </is>
      </c>
      <c r="E202" s="9" t="inlineStr">
        <is>
          <t>孫宇軒</t>
        </is>
      </c>
      <c r="F202" s="8" t="inlineStr">
        <is>
          <t>飲品</t>
        </is>
      </c>
      <c r="G202" s="8" t="inlineStr">
        <is>
          <t>DRK-02</t>
        </is>
      </c>
      <c r="H202" s="9" t="inlineStr">
        <is>
          <t>黑糖珍珠鮮奶</t>
        </is>
      </c>
      <c r="I202" s="10" t="n">
        <v>3</v>
      </c>
      <c r="J202" s="11" t="n">
        <v>90</v>
      </c>
      <c r="K202" s="11">
        <f>I202*J202</f>
        <v/>
      </c>
    </row>
    <row r="203">
      <c r="A203" s="4" t="n">
        <v>199</v>
      </c>
      <c r="B203" s="4" t="inlineStr">
        <is>
          <t>ORD-20260170</t>
        </is>
      </c>
      <c r="C203" s="4" t="inlineStr">
        <is>
          <t>2026-09-25</t>
        </is>
      </c>
      <c r="D203" s="4" t="inlineStr">
        <is>
          <t>CUST-1021</t>
        </is>
      </c>
      <c r="E203" s="5" t="inlineStr">
        <is>
          <t>徐世榮</t>
        </is>
      </c>
      <c r="F203" s="4" t="inlineStr">
        <is>
          <t>肉品</t>
        </is>
      </c>
      <c r="G203" s="4" t="inlineStr">
        <is>
          <t>MEA-07</t>
        </is>
      </c>
      <c r="H203" s="5" t="inlineStr">
        <is>
          <t>薑絲炒大腸</t>
        </is>
      </c>
      <c r="I203" s="6" t="n">
        <v>5</v>
      </c>
      <c r="J203" s="7" t="n">
        <v>210</v>
      </c>
      <c r="K203" s="7">
        <f>I203*J203</f>
        <v/>
      </c>
    </row>
    <row r="204">
      <c r="A204" s="8" t="n">
        <v>200</v>
      </c>
      <c r="B204" s="8" t="inlineStr">
        <is>
          <t>ORD-20260264</t>
        </is>
      </c>
      <c r="C204" s="8" t="inlineStr">
        <is>
          <t>2026-09-25</t>
        </is>
      </c>
      <c r="D204" s="8" t="inlineStr">
        <is>
          <t>CUST-1013</t>
        </is>
      </c>
      <c r="E204" s="9" t="inlineStr">
        <is>
          <t>謝佳蓉</t>
        </is>
      </c>
      <c r="F204" s="8" t="inlineStr">
        <is>
          <t>主食</t>
        </is>
      </c>
      <c r="G204" s="8" t="inlineStr">
        <is>
          <t>STA-04</t>
        </is>
      </c>
      <c r="H204" s="9" t="inlineStr">
        <is>
          <t>烏魚子炒飯</t>
        </is>
      </c>
      <c r="I204" s="10" t="n">
        <v>8</v>
      </c>
      <c r="J204" s="11" t="n">
        <v>220</v>
      </c>
      <c r="K204" s="11">
        <f>I204*J204</f>
        <v/>
      </c>
    </row>
    <row r="205">
      <c r="A205" s="4" t="n">
        <v>201</v>
      </c>
      <c r="B205" s="4" t="inlineStr">
        <is>
          <t>ORD-20260270</t>
        </is>
      </c>
      <c r="C205" s="4" t="inlineStr">
        <is>
          <t>2026-09-25</t>
        </is>
      </c>
      <c r="D205" s="4" t="inlineStr">
        <is>
          <t>CUST-1030</t>
        </is>
      </c>
      <c r="E205" s="5" t="inlineStr">
        <is>
          <t>呂建德</t>
        </is>
      </c>
      <c r="F205" s="4" t="inlineStr">
        <is>
          <t>海鮮</t>
        </is>
      </c>
      <c r="G205" s="4" t="inlineStr">
        <is>
          <t>SEA-06</t>
        </is>
      </c>
      <c r="H205" s="5" t="inlineStr">
        <is>
          <t>清蒸金目鱸魚片</t>
        </is>
      </c>
      <c r="I205" s="6" t="n">
        <v>1</v>
      </c>
      <c r="J205" s="7" t="n">
        <v>240</v>
      </c>
      <c r="K205" s="7">
        <f>I205*J205</f>
        <v/>
      </c>
    </row>
    <row r="206">
      <c r="A206" s="8" t="n">
        <v>202</v>
      </c>
      <c r="B206" s="8" t="inlineStr">
        <is>
          <t>ORD-20260273</t>
        </is>
      </c>
      <c r="C206" s="8" t="inlineStr">
        <is>
          <t>2026-09-25</t>
        </is>
      </c>
      <c r="D206" s="8" t="inlineStr">
        <is>
          <t>CUST-1025</t>
        </is>
      </c>
      <c r="E206" s="9" t="inlineStr">
        <is>
          <t>葉宜君</t>
        </is>
      </c>
      <c r="F206" s="8" t="inlineStr">
        <is>
          <t>飲品</t>
        </is>
      </c>
      <c r="G206" s="8" t="inlineStr">
        <is>
          <t>DRK-02</t>
        </is>
      </c>
      <c r="H206" s="9" t="inlineStr">
        <is>
          <t>黑糖珍珠鮮奶</t>
        </is>
      </c>
      <c r="I206" s="10" t="n">
        <v>1</v>
      </c>
      <c r="J206" s="11" t="n">
        <v>90</v>
      </c>
      <c r="K206" s="11">
        <f>I206*J206</f>
        <v/>
      </c>
    </row>
    <row r="207">
      <c r="A207" s="4" t="n">
        <v>203</v>
      </c>
      <c r="B207" s="4" t="inlineStr">
        <is>
          <t>ORD-20260299</t>
        </is>
      </c>
      <c r="C207" s="4" t="inlineStr">
        <is>
          <t>2026-09-25</t>
        </is>
      </c>
      <c r="D207" s="4" t="inlineStr">
        <is>
          <t>CUST-1031</t>
        </is>
      </c>
      <c r="E207" s="5" t="inlineStr">
        <is>
          <t>宏達數位科技</t>
        </is>
      </c>
      <c r="F207" s="4" t="inlineStr">
        <is>
          <t>冷盤</t>
        </is>
      </c>
      <c r="G207" s="4" t="inlineStr">
        <is>
          <t>APP-07</t>
        </is>
      </c>
      <c r="H207" s="5" t="inlineStr">
        <is>
          <t>煙燻粉肝</t>
        </is>
      </c>
      <c r="I207" s="6" t="n">
        <v>1</v>
      </c>
      <c r="J207" s="7" t="n">
        <v>120</v>
      </c>
      <c r="K207" s="7">
        <f>I207*J207</f>
        <v/>
      </c>
    </row>
    <row r="208">
      <c r="A208" s="8" t="n">
        <v>204</v>
      </c>
      <c r="B208" s="8" t="inlineStr">
        <is>
          <t>ORD-20260300</t>
        </is>
      </c>
      <c r="C208" s="8" t="inlineStr">
        <is>
          <t>2026-09-25</t>
        </is>
      </c>
      <c r="D208" s="8" t="inlineStr">
        <is>
          <t>CUST-1037</t>
        </is>
      </c>
      <c r="E208" s="9" t="inlineStr">
        <is>
          <t>晨曦文創公司</t>
        </is>
      </c>
      <c r="F208" s="8" t="inlineStr">
        <is>
          <t>蔬菜</t>
        </is>
      </c>
      <c r="G208" s="8" t="inlineStr">
        <is>
          <t>VEG-01</t>
        </is>
      </c>
      <c r="H208" s="9" t="inlineStr">
        <is>
          <t>清炒高麗菜</t>
        </is>
      </c>
      <c r="I208" s="10" t="n">
        <v>2</v>
      </c>
      <c r="J208" s="11" t="n">
        <v>110</v>
      </c>
      <c r="K208" s="11">
        <f>I208*J208</f>
        <v/>
      </c>
    </row>
    <row r="209">
      <c r="A209" s="4" t="n">
        <v>205</v>
      </c>
      <c r="B209" s="4" t="inlineStr">
        <is>
          <t>ORD-20260073</t>
        </is>
      </c>
      <c r="C209" s="4" t="inlineStr">
        <is>
          <t>2026-09-26</t>
        </is>
      </c>
      <c r="D209" s="4" t="inlineStr">
        <is>
          <t>CUST-1004</t>
        </is>
      </c>
      <c r="E209" s="5" t="inlineStr">
        <is>
          <t>黃家豪</t>
        </is>
      </c>
      <c r="F209" s="4" t="inlineStr">
        <is>
          <t>肉品</t>
        </is>
      </c>
      <c r="G209" s="4" t="inlineStr">
        <is>
          <t>MEA-04</t>
        </is>
      </c>
      <c r="H209" s="5" t="inlineStr">
        <is>
          <t>醬燒蔥爆牛肉</t>
        </is>
      </c>
      <c r="I209" s="6" t="n">
        <v>3</v>
      </c>
      <c r="J209" s="7" t="n">
        <v>230</v>
      </c>
      <c r="K209" s="7">
        <f>I209*J209</f>
        <v/>
      </c>
    </row>
    <row r="210">
      <c r="A210" s="8" t="n">
        <v>206</v>
      </c>
      <c r="B210" s="8" t="inlineStr">
        <is>
          <t>ORD-20260117</t>
        </is>
      </c>
      <c r="C210" s="8" t="inlineStr">
        <is>
          <t>2026-09-26</t>
        </is>
      </c>
      <c r="D210" s="8" t="inlineStr">
        <is>
          <t>CUST-1022</t>
        </is>
      </c>
      <c r="E210" s="9" t="inlineStr">
        <is>
          <t>孫宇軒</t>
        </is>
      </c>
      <c r="F210" s="8" t="inlineStr">
        <is>
          <t>海鮮</t>
        </is>
      </c>
      <c r="G210" s="8" t="inlineStr">
        <is>
          <t>SEA-03</t>
        </is>
      </c>
      <c r="H210" s="9" t="inlineStr">
        <is>
          <t>塔香炒蛤蜊</t>
        </is>
      </c>
      <c r="I210" s="10" t="n">
        <v>1</v>
      </c>
      <c r="J210" s="11" t="n">
        <v>190</v>
      </c>
      <c r="K210" s="11">
        <f>I210*J210</f>
        <v/>
      </c>
    </row>
    <row r="211">
      <c r="A211" s="4" t="n">
        <v>207</v>
      </c>
      <c r="B211" s="4" t="inlineStr">
        <is>
          <t>ORD-20260119</t>
        </is>
      </c>
      <c r="C211" s="4" t="inlineStr">
        <is>
          <t>2026-09-26</t>
        </is>
      </c>
      <c r="D211" s="4" t="inlineStr">
        <is>
          <t>CUST-1044</t>
        </is>
      </c>
      <c r="E211" s="5" t="inlineStr">
        <is>
          <t>柯宗憲</t>
        </is>
      </c>
      <c r="F211" s="4" t="inlineStr">
        <is>
          <t>湯品</t>
        </is>
      </c>
      <c r="G211" s="4" t="inlineStr">
        <is>
          <t>SOU-06</t>
        </is>
      </c>
      <c r="H211" s="5" t="inlineStr">
        <is>
          <t>貢丸蘿蔔排骨湯</t>
        </is>
      </c>
      <c r="I211" s="6" t="n">
        <v>2</v>
      </c>
      <c r="J211" s="7" t="n">
        <v>120</v>
      </c>
      <c r="K211" s="7">
        <f>I211*J211</f>
        <v/>
      </c>
    </row>
    <row r="212">
      <c r="A212" s="8" t="n">
        <v>208</v>
      </c>
      <c r="B212" s="8" t="inlineStr">
        <is>
          <t>ORD-20260133</t>
        </is>
      </c>
      <c r="C212" s="8" t="inlineStr">
        <is>
          <t>2026-09-26</t>
        </is>
      </c>
      <c r="D212" s="8" t="inlineStr">
        <is>
          <t>CUST-1036</t>
        </is>
      </c>
      <c r="E212" s="9" t="inlineStr">
        <is>
          <t>聯發創新團隊</t>
        </is>
      </c>
      <c r="F212" s="8" t="inlineStr">
        <is>
          <t>冷盤</t>
        </is>
      </c>
      <c r="G212" s="8" t="inlineStr">
        <is>
          <t>APP-01</t>
        </is>
      </c>
      <c r="H212" s="9" t="inlineStr">
        <is>
          <t>台式蒜泥白肉</t>
        </is>
      </c>
      <c r="I212" s="10" t="n">
        <v>2</v>
      </c>
      <c r="J212" s="11" t="n">
        <v>160</v>
      </c>
      <c r="K212" s="11">
        <f>I212*J212</f>
        <v/>
      </c>
    </row>
    <row r="213">
      <c r="A213" s="4" t="n">
        <v>209</v>
      </c>
      <c r="B213" s="4" t="inlineStr">
        <is>
          <t>ORD-20260182</t>
        </is>
      </c>
      <c r="C213" s="4" t="inlineStr">
        <is>
          <t>2026-09-26</t>
        </is>
      </c>
      <c r="D213" s="4" t="inlineStr">
        <is>
          <t>CUST-1046</t>
        </is>
      </c>
      <c r="E213" s="5" t="inlineStr">
        <is>
          <t>戴育德</t>
        </is>
      </c>
      <c r="F213" s="4" t="inlineStr">
        <is>
          <t>肉品</t>
        </is>
      </c>
      <c r="G213" s="4" t="inlineStr">
        <is>
          <t>MEA-06</t>
        </is>
      </c>
      <c r="H213" s="5" t="inlineStr">
        <is>
          <t>香酥炸排骨</t>
        </is>
      </c>
      <c r="I213" s="6" t="n">
        <v>1</v>
      </c>
      <c r="J213" s="7" t="n">
        <v>160</v>
      </c>
      <c r="K213" s="7">
        <f>I213*J213</f>
        <v/>
      </c>
    </row>
    <row r="214">
      <c r="A214" s="8" t="n">
        <v>210</v>
      </c>
      <c r="B214" s="8" t="inlineStr">
        <is>
          <t>ORD-20260238</t>
        </is>
      </c>
      <c r="C214" s="8" t="inlineStr">
        <is>
          <t>2026-09-26</t>
        </is>
      </c>
      <c r="D214" s="8" t="inlineStr">
        <is>
          <t>CUST-1018</t>
        </is>
      </c>
      <c r="E214" s="9" t="inlineStr">
        <is>
          <t>邱柏翰</t>
        </is>
      </c>
      <c r="F214" s="8" t="inlineStr">
        <is>
          <t>湯品</t>
        </is>
      </c>
      <c r="G214" s="8" t="inlineStr">
        <is>
          <t>SOU-04</t>
        </is>
      </c>
      <c r="H214" s="9" t="inlineStr">
        <is>
          <t>薑絲蛤蜊湯</t>
        </is>
      </c>
      <c r="I214" s="10" t="n">
        <v>10</v>
      </c>
      <c r="J214" s="11" t="n">
        <v>130</v>
      </c>
      <c r="K214" s="11">
        <f>I214*J214</f>
        <v/>
      </c>
    </row>
    <row r="215">
      <c r="A215" s="4" t="n">
        <v>211</v>
      </c>
      <c r="B215" s="4" t="inlineStr">
        <is>
          <t>ORD-20260314</t>
        </is>
      </c>
      <c r="C215" s="4" t="inlineStr">
        <is>
          <t>2026-09-26</t>
        </is>
      </c>
      <c r="D215" s="4" t="inlineStr">
        <is>
          <t>CUST-1036</t>
        </is>
      </c>
      <c r="E215" s="5" t="inlineStr">
        <is>
          <t>聯發創新團隊</t>
        </is>
      </c>
      <c r="F215" s="4" t="inlineStr">
        <is>
          <t>蔬菜</t>
        </is>
      </c>
      <c r="G215" s="4" t="inlineStr">
        <is>
          <t>VEG-02</t>
        </is>
      </c>
      <c r="H215" s="5" t="inlineStr">
        <is>
          <t>櫻花蝦炒高麗菜</t>
        </is>
      </c>
      <c r="I215" s="6" t="n">
        <v>1</v>
      </c>
      <c r="J215" s="7" t="n">
        <v>150</v>
      </c>
      <c r="K215" s="7">
        <f>I215*J215</f>
        <v/>
      </c>
    </row>
    <row r="216">
      <c r="A216" s="8" t="n">
        <v>212</v>
      </c>
      <c r="B216" s="8" t="inlineStr">
        <is>
          <t>ORD-20260315</t>
        </is>
      </c>
      <c r="C216" s="8" t="inlineStr">
        <is>
          <t>2026-09-26</t>
        </is>
      </c>
      <c r="D216" s="8" t="inlineStr">
        <is>
          <t>CUST-1001</t>
        </is>
      </c>
      <c r="E216" s="9" t="inlineStr">
        <is>
          <t>陳建宏</t>
        </is>
      </c>
      <c r="F216" s="8" t="inlineStr">
        <is>
          <t>海鮮</t>
        </is>
      </c>
      <c r="G216" s="8" t="inlineStr">
        <is>
          <t>SEA-02</t>
        </is>
      </c>
      <c r="H216" s="9" t="inlineStr">
        <is>
          <t>豆酥鱈魚</t>
        </is>
      </c>
      <c r="I216" s="10" t="n">
        <v>10</v>
      </c>
      <c r="J216" s="11" t="n">
        <v>240</v>
      </c>
      <c r="K216" s="11">
        <f>I216*J216</f>
        <v/>
      </c>
    </row>
    <row r="217">
      <c r="A217" s="4" t="n">
        <v>213</v>
      </c>
      <c r="B217" s="4" t="inlineStr">
        <is>
          <t>ORD-20260007</t>
        </is>
      </c>
      <c r="C217" s="4" t="inlineStr">
        <is>
          <t>2026-09-27</t>
        </is>
      </c>
      <c r="D217" s="4" t="inlineStr">
        <is>
          <t>CUST-1015</t>
        </is>
      </c>
      <c r="E217" s="5" t="inlineStr">
        <is>
          <t>郭宏達</t>
        </is>
      </c>
      <c r="F217" s="4" t="inlineStr">
        <is>
          <t>蔬菜</t>
        </is>
      </c>
      <c r="G217" s="4" t="inlineStr">
        <is>
          <t>VEG-07</t>
        </is>
      </c>
      <c r="H217" s="5" t="inlineStr">
        <is>
          <t>開陽白菜滷</t>
        </is>
      </c>
      <c r="I217" s="6" t="n">
        <v>2</v>
      </c>
      <c r="J217" s="7" t="n">
        <v>130</v>
      </c>
      <c r="K217" s="7">
        <f>I217*J217</f>
        <v/>
      </c>
    </row>
    <row r="218">
      <c r="A218" s="8" t="n">
        <v>214</v>
      </c>
      <c r="B218" s="8" t="inlineStr">
        <is>
          <t>ORD-20260072</t>
        </is>
      </c>
      <c r="C218" s="8" t="inlineStr">
        <is>
          <t>2026-09-27</t>
        </is>
      </c>
      <c r="D218" s="8" t="inlineStr">
        <is>
          <t>CUST-1032</t>
        </is>
      </c>
      <c r="E218" s="9" t="inlineStr">
        <is>
          <t>國泰聯合事務所</t>
        </is>
      </c>
      <c r="F218" s="8" t="inlineStr">
        <is>
          <t>湯品</t>
        </is>
      </c>
      <c r="G218" s="8" t="inlineStr">
        <is>
          <t>SOU-02</t>
        </is>
      </c>
      <c r="H218" s="9" t="inlineStr">
        <is>
          <t>鳳梨苦瓜雞湯</t>
        </is>
      </c>
      <c r="I218" s="10" t="n">
        <v>1</v>
      </c>
      <c r="J218" s="11" t="n">
        <v>210</v>
      </c>
      <c r="K218" s="11">
        <f>I218*J218</f>
        <v/>
      </c>
    </row>
    <row r="219">
      <c r="A219" s="4" t="n">
        <v>215</v>
      </c>
      <c r="B219" s="4" t="inlineStr">
        <is>
          <t>ORD-20260084</t>
        </is>
      </c>
      <c r="C219" s="4" t="inlineStr">
        <is>
          <t>2026-09-27</t>
        </is>
      </c>
      <c r="D219" s="4" t="inlineStr">
        <is>
          <t>CUST-1043</t>
        </is>
      </c>
      <c r="E219" s="5" t="inlineStr">
        <is>
          <t>潘郁婷</t>
        </is>
      </c>
      <c r="F219" s="4" t="inlineStr">
        <is>
          <t>主食</t>
        </is>
      </c>
      <c r="G219" s="4" t="inlineStr">
        <is>
          <t>STA-03</t>
        </is>
      </c>
      <c r="H219" s="5" t="inlineStr">
        <is>
          <t>櫻花蝦炒飯</t>
        </is>
      </c>
      <c r="I219" s="6" t="n">
        <v>8</v>
      </c>
      <c r="J219" s="7" t="n">
        <v>150</v>
      </c>
      <c r="K219" s="7">
        <f>I219*J219</f>
        <v/>
      </c>
    </row>
    <row r="220">
      <c r="A220" s="8" t="n">
        <v>216</v>
      </c>
      <c r="B220" s="8" t="inlineStr">
        <is>
          <t>ORD-20260172</t>
        </is>
      </c>
      <c r="C220" s="8" t="inlineStr">
        <is>
          <t>2026-09-27</t>
        </is>
      </c>
      <c r="D220" s="8" t="inlineStr">
        <is>
          <t>CUST-1017</t>
        </is>
      </c>
      <c r="E220" s="9" t="inlineStr">
        <is>
          <t>廖健民</t>
        </is>
      </c>
      <c r="F220" s="8" t="inlineStr">
        <is>
          <t>冷盤</t>
        </is>
      </c>
      <c r="G220" s="8" t="inlineStr">
        <is>
          <t>APP-06</t>
        </is>
      </c>
      <c r="H220" s="9" t="inlineStr">
        <is>
          <t>涼拌海蜇皮</t>
        </is>
      </c>
      <c r="I220" s="10" t="n">
        <v>6</v>
      </c>
      <c r="J220" s="11" t="n">
        <v>180</v>
      </c>
      <c r="K220" s="11">
        <f>I220*J220</f>
        <v/>
      </c>
    </row>
    <row r="221">
      <c r="A221" s="4" t="n">
        <v>217</v>
      </c>
      <c r="B221" s="4" t="inlineStr">
        <is>
          <t>ORD-20260188</t>
        </is>
      </c>
      <c r="C221" s="4" t="inlineStr">
        <is>
          <t>2026-09-27</t>
        </is>
      </c>
      <c r="D221" s="4" t="inlineStr">
        <is>
          <t>CUST-1032</t>
        </is>
      </c>
      <c r="E221" s="5" t="inlineStr">
        <is>
          <t>國泰聯合事務所</t>
        </is>
      </c>
      <c r="F221" s="4" t="inlineStr">
        <is>
          <t>冷盤</t>
        </is>
      </c>
      <c r="G221" s="4" t="inlineStr">
        <is>
          <t>APP-07</t>
        </is>
      </c>
      <c r="H221" s="5" t="inlineStr">
        <is>
          <t>煙燻粉肝</t>
        </is>
      </c>
      <c r="I221" s="6" t="n">
        <v>4</v>
      </c>
      <c r="J221" s="7" t="n">
        <v>120</v>
      </c>
      <c r="K221" s="7">
        <f>I221*J221</f>
        <v/>
      </c>
    </row>
    <row r="222">
      <c r="A222" s="8" t="n">
        <v>218</v>
      </c>
      <c r="B222" s="8" t="inlineStr">
        <is>
          <t>ORD-20260223</t>
        </is>
      </c>
      <c r="C222" s="8" t="inlineStr">
        <is>
          <t>2026-09-27</t>
        </is>
      </c>
      <c r="D222" s="8" t="inlineStr">
        <is>
          <t>CUST-1039</t>
        </is>
      </c>
      <c r="E222" s="9" t="inlineStr">
        <is>
          <t>華碩雲端部門</t>
        </is>
      </c>
      <c r="F222" s="8" t="inlineStr">
        <is>
          <t>主食</t>
        </is>
      </c>
      <c r="G222" s="8" t="inlineStr">
        <is>
          <t>STA-04</t>
        </is>
      </c>
      <c r="H222" s="9" t="inlineStr">
        <is>
          <t>烏魚子炒飯</t>
        </is>
      </c>
      <c r="I222" s="10" t="n">
        <v>1</v>
      </c>
      <c r="J222" s="11" t="n">
        <v>220</v>
      </c>
      <c r="K222" s="11">
        <f>I222*J222</f>
        <v/>
      </c>
    </row>
    <row r="223">
      <c r="A223" s="4" t="n">
        <v>219</v>
      </c>
      <c r="B223" s="4" t="inlineStr">
        <is>
          <t>ORD-20260230</t>
        </is>
      </c>
      <c r="C223" s="4" t="inlineStr">
        <is>
          <t>2026-09-27</t>
        </is>
      </c>
      <c r="D223" s="4" t="inlineStr">
        <is>
          <t>CUST-1029</t>
        </is>
      </c>
      <c r="E223" s="5" t="inlineStr">
        <is>
          <t>莊佩珊</t>
        </is>
      </c>
      <c r="F223" s="4" t="inlineStr">
        <is>
          <t>飲品</t>
        </is>
      </c>
      <c r="G223" s="4" t="inlineStr">
        <is>
          <t>DRK-04</t>
        </is>
      </c>
      <c r="H223" s="5" t="inlineStr">
        <is>
          <t>特調酸梅湯</t>
        </is>
      </c>
      <c r="I223" s="6" t="n">
        <v>6</v>
      </c>
      <c r="J223" s="7" t="n">
        <v>80</v>
      </c>
      <c r="K223" s="7">
        <f>I223*J223</f>
        <v/>
      </c>
    </row>
    <row r="224">
      <c r="A224" s="8" t="n">
        <v>220</v>
      </c>
      <c r="B224" s="8" t="inlineStr">
        <is>
          <t>ORD-20260246</t>
        </is>
      </c>
      <c r="C224" s="8" t="inlineStr">
        <is>
          <t>2026-09-27</t>
        </is>
      </c>
      <c r="D224" s="8" t="inlineStr">
        <is>
          <t>CUST-1022</t>
        </is>
      </c>
      <c r="E224" s="9" t="inlineStr">
        <is>
          <t>孫宇軒</t>
        </is>
      </c>
      <c r="F224" s="8" t="inlineStr">
        <is>
          <t>海鮮</t>
        </is>
      </c>
      <c r="G224" s="8" t="inlineStr">
        <is>
          <t>SEA-06</t>
        </is>
      </c>
      <c r="H224" s="9" t="inlineStr">
        <is>
          <t>清蒸金目鱸魚片</t>
        </is>
      </c>
      <c r="I224" s="10" t="n">
        <v>1</v>
      </c>
      <c r="J224" s="11" t="n">
        <v>240</v>
      </c>
      <c r="K224" s="11">
        <f>I224*J224</f>
        <v/>
      </c>
    </row>
    <row r="225">
      <c r="A225" s="4" t="n">
        <v>221</v>
      </c>
      <c r="B225" s="4" t="inlineStr">
        <is>
          <t>ORD-20260272</t>
        </is>
      </c>
      <c r="C225" s="4" t="inlineStr">
        <is>
          <t>2026-09-27</t>
        </is>
      </c>
      <c r="D225" s="4" t="inlineStr">
        <is>
          <t>CUST-1003</t>
        </is>
      </c>
      <c r="E225" s="5" t="inlineStr">
        <is>
          <t>張淑芬</t>
        </is>
      </c>
      <c r="F225" s="4" t="inlineStr">
        <is>
          <t>海鮮</t>
        </is>
      </c>
      <c r="G225" s="4" t="inlineStr">
        <is>
          <t>SEA-06</t>
        </is>
      </c>
      <c r="H225" s="5" t="inlineStr">
        <is>
          <t>清蒸金目鱸魚片</t>
        </is>
      </c>
      <c r="I225" s="6" t="n">
        <v>6</v>
      </c>
      <c r="J225" s="7" t="n">
        <v>240</v>
      </c>
      <c r="K225" s="7">
        <f>I225*J225</f>
        <v/>
      </c>
    </row>
    <row r="226">
      <c r="A226" s="8" t="n">
        <v>222</v>
      </c>
      <c r="B226" s="8" t="inlineStr">
        <is>
          <t>ORD-20260309</t>
        </is>
      </c>
      <c r="C226" s="8" t="inlineStr">
        <is>
          <t>2026-09-27</t>
        </is>
      </c>
      <c r="D226" s="8" t="inlineStr">
        <is>
          <t>CUST-1012</t>
        </is>
      </c>
      <c r="E226" s="9" t="inlineStr">
        <is>
          <t>鄭雅雯</t>
        </is>
      </c>
      <c r="F226" s="8" t="inlineStr">
        <is>
          <t>肉品</t>
        </is>
      </c>
      <c r="G226" s="8" t="inlineStr">
        <is>
          <t>MEA-06</t>
        </is>
      </c>
      <c r="H226" s="9" t="inlineStr">
        <is>
          <t>香酥炸排骨</t>
        </is>
      </c>
      <c r="I226" s="10" t="n">
        <v>1</v>
      </c>
      <c r="J226" s="11" t="n">
        <v>160</v>
      </c>
      <c r="K226" s="11">
        <f>I226*J226</f>
        <v/>
      </c>
    </row>
    <row r="227">
      <c r="A227" s="4" t="n">
        <v>223</v>
      </c>
      <c r="B227" s="4" t="inlineStr">
        <is>
          <t>ORD-20260034</t>
        </is>
      </c>
      <c r="C227" s="4" t="inlineStr">
        <is>
          <t>2026-09-28</t>
        </is>
      </c>
      <c r="D227" s="4" t="inlineStr">
        <is>
          <t>CUST-1039</t>
        </is>
      </c>
      <c r="E227" s="5" t="inlineStr">
        <is>
          <t>華碩雲端部門</t>
        </is>
      </c>
      <c r="F227" s="4" t="inlineStr">
        <is>
          <t>冷盤</t>
        </is>
      </c>
      <c r="G227" s="4" t="inlineStr">
        <is>
          <t>APP-05</t>
        </is>
      </c>
      <c r="H227" s="5" t="inlineStr">
        <is>
          <t>黃金皮蛋豆腐</t>
        </is>
      </c>
      <c r="I227" s="6" t="n">
        <v>3</v>
      </c>
      <c r="J227" s="7" t="n">
        <v>90</v>
      </c>
      <c r="K227" s="7">
        <f>I227*J227</f>
        <v/>
      </c>
    </row>
    <row r="228">
      <c r="A228" s="8" t="n">
        <v>224</v>
      </c>
      <c r="B228" s="8" t="inlineStr">
        <is>
          <t>ORD-20260103</t>
        </is>
      </c>
      <c r="C228" s="8" t="inlineStr">
        <is>
          <t>2026-09-28</t>
        </is>
      </c>
      <c r="D228" s="8" t="inlineStr">
        <is>
          <t>CUST-1036</t>
        </is>
      </c>
      <c r="E228" s="9" t="inlineStr">
        <is>
          <t>聯發創新團隊</t>
        </is>
      </c>
      <c r="F228" s="8" t="inlineStr">
        <is>
          <t>冷盤</t>
        </is>
      </c>
      <c r="G228" s="8" t="inlineStr">
        <is>
          <t>APP-01</t>
        </is>
      </c>
      <c r="H228" s="9" t="inlineStr">
        <is>
          <t>台式蒜泥白肉</t>
        </is>
      </c>
      <c r="I228" s="10" t="n">
        <v>1</v>
      </c>
      <c r="J228" s="11" t="n">
        <v>160</v>
      </c>
      <c r="K228" s="11">
        <f>I228*J228</f>
        <v/>
      </c>
    </row>
    <row r="229">
      <c r="A229" s="4" t="n">
        <v>225</v>
      </c>
      <c r="B229" s="4" t="inlineStr">
        <is>
          <t>ORD-20260123</t>
        </is>
      </c>
      <c r="C229" s="4" t="inlineStr">
        <is>
          <t>2026-09-28</t>
        </is>
      </c>
      <c r="D229" s="4" t="inlineStr">
        <is>
          <t>CUST-1039</t>
        </is>
      </c>
      <c r="E229" s="5" t="inlineStr">
        <is>
          <t>華碩雲端部門</t>
        </is>
      </c>
      <c r="F229" s="4" t="inlineStr">
        <is>
          <t>湯品</t>
        </is>
      </c>
      <c r="G229" s="4" t="inlineStr">
        <is>
          <t>SOU-04</t>
        </is>
      </c>
      <c r="H229" s="5" t="inlineStr">
        <is>
          <t>薑絲蛤蜊湯</t>
        </is>
      </c>
      <c r="I229" s="6" t="n">
        <v>1</v>
      </c>
      <c r="J229" s="7" t="n">
        <v>130</v>
      </c>
      <c r="K229" s="7">
        <f>I229*J229</f>
        <v/>
      </c>
    </row>
    <row r="230">
      <c r="A230" s="8" t="n">
        <v>226</v>
      </c>
      <c r="B230" s="8" t="inlineStr">
        <is>
          <t>ORD-20260186</t>
        </is>
      </c>
      <c r="C230" s="8" t="inlineStr">
        <is>
          <t>2026-09-28</t>
        </is>
      </c>
      <c r="D230" s="8" t="inlineStr">
        <is>
          <t>CUST-1043</t>
        </is>
      </c>
      <c r="E230" s="9" t="inlineStr">
        <is>
          <t>潘郁婷</t>
        </is>
      </c>
      <c r="F230" s="8" t="inlineStr">
        <is>
          <t>蔬菜</t>
        </is>
      </c>
      <c r="G230" s="8" t="inlineStr">
        <is>
          <t>VEG-02</t>
        </is>
      </c>
      <c r="H230" s="9" t="inlineStr">
        <is>
          <t>櫻花蝦炒高麗菜</t>
        </is>
      </c>
      <c r="I230" s="10" t="n">
        <v>1</v>
      </c>
      <c r="J230" s="11" t="n">
        <v>150</v>
      </c>
      <c r="K230" s="11">
        <f>I230*J230</f>
        <v/>
      </c>
    </row>
    <row r="231">
      <c r="A231" s="4" t="n">
        <v>227</v>
      </c>
      <c r="B231" s="4" t="inlineStr">
        <is>
          <t>ORD-20260190</t>
        </is>
      </c>
      <c r="C231" s="4" t="inlineStr">
        <is>
          <t>2026-09-28</t>
        </is>
      </c>
      <c r="D231" s="4" t="inlineStr">
        <is>
          <t>CUST-1012</t>
        </is>
      </c>
      <c r="E231" s="5" t="inlineStr">
        <is>
          <t>鄭雅雯</t>
        </is>
      </c>
      <c r="F231" s="4" t="inlineStr">
        <is>
          <t>飲品</t>
        </is>
      </c>
      <c r="G231" s="4" t="inlineStr">
        <is>
          <t>DRK-06</t>
        </is>
      </c>
      <c r="H231" s="5" t="inlineStr">
        <is>
          <t>古早味紅茶豆漿</t>
        </is>
      </c>
      <c r="I231" s="6" t="n">
        <v>8</v>
      </c>
      <c r="J231" s="7" t="n">
        <v>80</v>
      </c>
      <c r="K231" s="7">
        <f>I231*J231</f>
        <v/>
      </c>
    </row>
    <row r="232">
      <c r="A232" s="8" t="n">
        <v>228</v>
      </c>
      <c r="B232" s="8" t="inlineStr">
        <is>
          <t>ORD-20260205</t>
        </is>
      </c>
      <c r="C232" s="8" t="inlineStr">
        <is>
          <t>2026-09-28</t>
        </is>
      </c>
      <c r="D232" s="8" t="inlineStr">
        <is>
          <t>CUST-1048</t>
        </is>
      </c>
      <c r="E232" s="9" t="inlineStr">
        <is>
          <t>顏立威</t>
        </is>
      </c>
      <c r="F232" s="8" t="inlineStr">
        <is>
          <t>主食</t>
        </is>
      </c>
      <c r="G232" s="8" t="inlineStr">
        <is>
          <t>STA-01</t>
        </is>
      </c>
      <c r="H232" s="9" t="inlineStr">
        <is>
          <t>台式古早味炒米粉</t>
        </is>
      </c>
      <c r="I232" s="10" t="n">
        <v>2</v>
      </c>
      <c r="J232" s="11" t="n">
        <v>120</v>
      </c>
      <c r="K232" s="11">
        <f>I232*J232</f>
        <v/>
      </c>
    </row>
    <row r="233">
      <c r="A233" s="4" t="n">
        <v>229</v>
      </c>
      <c r="B233" s="4" t="inlineStr">
        <is>
          <t>ORD-20260234</t>
        </is>
      </c>
      <c r="C233" s="4" t="inlineStr">
        <is>
          <t>2026-09-28</t>
        </is>
      </c>
      <c r="D233" s="4" t="inlineStr">
        <is>
          <t>CUST-1008</t>
        </is>
      </c>
      <c r="E233" s="5" t="inlineStr">
        <is>
          <t>劉冠宇</t>
        </is>
      </c>
      <c r="F233" s="4" t="inlineStr">
        <is>
          <t>湯品</t>
        </is>
      </c>
      <c r="G233" s="4" t="inlineStr">
        <is>
          <t>SOU-06</t>
        </is>
      </c>
      <c r="H233" s="5" t="inlineStr">
        <is>
          <t>貢丸蘿蔔排骨湯</t>
        </is>
      </c>
      <c r="I233" s="6" t="n">
        <v>1</v>
      </c>
      <c r="J233" s="7" t="n">
        <v>120</v>
      </c>
      <c r="K233" s="7">
        <f>I233*J233</f>
        <v/>
      </c>
    </row>
    <row r="234">
      <c r="A234" s="8" t="n">
        <v>230</v>
      </c>
      <c r="B234" s="8" t="inlineStr">
        <is>
          <t>ORD-20260240</t>
        </is>
      </c>
      <c r="C234" s="8" t="inlineStr">
        <is>
          <t>2026-09-28</t>
        </is>
      </c>
      <c r="D234" s="8" t="inlineStr">
        <is>
          <t>CUST-1048</t>
        </is>
      </c>
      <c r="E234" s="9" t="inlineStr">
        <is>
          <t>顏立威</t>
        </is>
      </c>
      <c r="F234" s="8" t="inlineStr">
        <is>
          <t>海鮮</t>
        </is>
      </c>
      <c r="G234" s="8" t="inlineStr">
        <is>
          <t>SEA-06</t>
        </is>
      </c>
      <c r="H234" s="9" t="inlineStr">
        <is>
          <t>清蒸金目鱸魚片</t>
        </is>
      </c>
      <c r="I234" s="10" t="n">
        <v>2</v>
      </c>
      <c r="J234" s="11" t="n">
        <v>240</v>
      </c>
      <c r="K234" s="11">
        <f>I234*J234</f>
        <v/>
      </c>
    </row>
    <row r="235">
      <c r="A235" s="4" t="n">
        <v>231</v>
      </c>
      <c r="B235" s="4" t="inlineStr">
        <is>
          <t>ORD-20260053</t>
        </is>
      </c>
      <c r="C235" s="4" t="inlineStr">
        <is>
          <t>2026-09-29</t>
        </is>
      </c>
      <c r="D235" s="4" t="inlineStr">
        <is>
          <t>CUST-1034</t>
        </is>
      </c>
      <c r="E235" s="5" t="inlineStr">
        <is>
          <t>富邦行銷企劃</t>
        </is>
      </c>
      <c r="F235" s="4" t="inlineStr">
        <is>
          <t>蔬菜</t>
        </is>
      </c>
      <c r="G235" s="4" t="inlineStr">
        <is>
          <t>VEG-07</t>
        </is>
      </c>
      <c r="H235" s="5" t="inlineStr">
        <is>
          <t>開陽白菜滷</t>
        </is>
      </c>
      <c r="I235" s="6" t="n">
        <v>1</v>
      </c>
      <c r="J235" s="7" t="n">
        <v>130</v>
      </c>
      <c r="K235" s="7">
        <f>I235*J235</f>
        <v/>
      </c>
    </row>
    <row r="236">
      <c r="A236" s="8" t="n">
        <v>232</v>
      </c>
      <c r="B236" s="8" t="inlineStr">
        <is>
          <t>ORD-20260092</t>
        </is>
      </c>
      <c r="C236" s="8" t="inlineStr">
        <is>
          <t>2026-09-29</t>
        </is>
      </c>
      <c r="D236" s="8" t="inlineStr">
        <is>
          <t>CUST-1035</t>
        </is>
      </c>
      <c r="E236" s="9" t="inlineStr">
        <is>
          <t>台塑顧問公司</t>
        </is>
      </c>
      <c r="F236" s="8" t="inlineStr">
        <is>
          <t>飲品</t>
        </is>
      </c>
      <c r="G236" s="8" t="inlineStr">
        <is>
          <t>DRK-05</t>
        </is>
      </c>
      <c r="H236" s="9" t="inlineStr">
        <is>
          <t>經典金桔檸檬汁</t>
        </is>
      </c>
      <c r="I236" s="10" t="n">
        <v>2</v>
      </c>
      <c r="J236" s="11" t="n">
        <v>85</v>
      </c>
      <c r="K236" s="11">
        <f>I236*J236</f>
        <v/>
      </c>
    </row>
    <row r="237">
      <c r="A237" s="4" t="n">
        <v>233</v>
      </c>
      <c r="B237" s="4" t="inlineStr">
        <is>
          <t>ORD-20260151</t>
        </is>
      </c>
      <c r="C237" s="4" t="inlineStr">
        <is>
          <t>2026-09-29</t>
        </is>
      </c>
      <c r="D237" s="4" t="inlineStr">
        <is>
          <t>CUST-1017</t>
        </is>
      </c>
      <c r="E237" s="5" t="inlineStr">
        <is>
          <t>廖健民</t>
        </is>
      </c>
      <c r="F237" s="4" t="inlineStr">
        <is>
          <t>海鮮</t>
        </is>
      </c>
      <c r="G237" s="4" t="inlineStr">
        <is>
          <t>SEA-01</t>
        </is>
      </c>
      <c r="H237" s="5" t="inlineStr">
        <is>
          <t>鳳梨蝦球</t>
        </is>
      </c>
      <c r="I237" s="6" t="n">
        <v>2</v>
      </c>
      <c r="J237" s="7" t="n">
        <v>250</v>
      </c>
      <c r="K237" s="7">
        <f>I237*J237</f>
        <v/>
      </c>
    </row>
    <row r="238">
      <c r="A238" s="8" t="n">
        <v>234</v>
      </c>
      <c r="B238" s="8" t="inlineStr">
        <is>
          <t>ORD-20260194</t>
        </is>
      </c>
      <c r="C238" s="8" t="inlineStr">
        <is>
          <t>2026-09-29</t>
        </is>
      </c>
      <c r="D238" s="8" t="inlineStr">
        <is>
          <t>CUST-1016</t>
        </is>
      </c>
      <c r="E238" s="9" t="inlineStr">
        <is>
          <t>曾美慧</t>
        </is>
      </c>
      <c r="F238" s="8" t="inlineStr">
        <is>
          <t>湯品</t>
        </is>
      </c>
      <c r="G238" s="8" t="inlineStr">
        <is>
          <t>SOU-01</t>
        </is>
      </c>
      <c r="H238" s="9" t="inlineStr">
        <is>
          <t>剝皮辣椒雞湯</t>
        </is>
      </c>
      <c r="I238" s="10" t="n">
        <v>3</v>
      </c>
      <c r="J238" s="11" t="n">
        <v>220</v>
      </c>
      <c r="K238" s="11">
        <f>I238*J238</f>
        <v/>
      </c>
    </row>
    <row r="239">
      <c r="A239" s="4" t="n">
        <v>235</v>
      </c>
      <c r="B239" s="4" t="inlineStr">
        <is>
          <t>ORD-20260237</t>
        </is>
      </c>
      <c r="C239" s="4" t="inlineStr">
        <is>
          <t>2026-09-29</t>
        </is>
      </c>
      <c r="D239" s="4" t="inlineStr">
        <is>
          <t>CUST-1008</t>
        </is>
      </c>
      <c r="E239" s="5" t="inlineStr">
        <is>
          <t>劉冠宇</t>
        </is>
      </c>
      <c r="F239" s="4" t="inlineStr">
        <is>
          <t>湯品</t>
        </is>
      </c>
      <c r="G239" s="4" t="inlineStr">
        <is>
          <t>SOU-01</t>
        </is>
      </c>
      <c r="H239" s="5" t="inlineStr">
        <is>
          <t>剝皮辣椒雞湯</t>
        </is>
      </c>
      <c r="I239" s="6" t="n">
        <v>2</v>
      </c>
      <c r="J239" s="7" t="n">
        <v>220</v>
      </c>
      <c r="K239" s="7">
        <f>I239*J239</f>
        <v/>
      </c>
    </row>
    <row r="240">
      <c r="A240" s="8" t="n">
        <v>236</v>
      </c>
      <c r="B240" s="8" t="inlineStr">
        <is>
          <t>ORD-20260254</t>
        </is>
      </c>
      <c r="C240" s="8" t="inlineStr">
        <is>
          <t>2026-09-29</t>
        </is>
      </c>
      <c r="D240" s="8" t="inlineStr">
        <is>
          <t>CUST-1049</t>
        </is>
      </c>
      <c r="E240" s="9" t="inlineStr">
        <is>
          <t>蕭雅涵</t>
        </is>
      </c>
      <c r="F240" s="8" t="inlineStr">
        <is>
          <t>冷盤</t>
        </is>
      </c>
      <c r="G240" s="8" t="inlineStr">
        <is>
          <t>APP-04</t>
        </is>
      </c>
      <c r="H240" s="9" t="inlineStr">
        <is>
          <t>台式涼拌小黃瓜</t>
        </is>
      </c>
      <c r="I240" s="10" t="n">
        <v>1</v>
      </c>
      <c r="J240" s="11" t="n">
        <v>80</v>
      </c>
      <c r="K240" s="11">
        <f>I240*J240</f>
        <v/>
      </c>
    </row>
    <row r="241">
      <c r="A241" s="4" t="n">
        <v>237</v>
      </c>
      <c r="B241" s="4" t="inlineStr">
        <is>
          <t>ORD-20260256</t>
        </is>
      </c>
      <c r="C241" s="4" t="inlineStr">
        <is>
          <t>2026-09-29</t>
        </is>
      </c>
      <c r="D241" s="4" t="inlineStr">
        <is>
          <t>CUST-1045</t>
        </is>
      </c>
      <c r="E241" s="5" t="inlineStr">
        <is>
          <t>翁淑真</t>
        </is>
      </c>
      <c r="F241" s="4" t="inlineStr">
        <is>
          <t>湯品</t>
        </is>
      </c>
      <c r="G241" s="4" t="inlineStr">
        <is>
          <t>SOU-03</t>
        </is>
      </c>
      <c r="H241" s="5" t="inlineStr">
        <is>
          <t>鮮魚味噌豆腐湯</t>
        </is>
      </c>
      <c r="I241" s="6" t="n">
        <v>1</v>
      </c>
      <c r="J241" s="7" t="n">
        <v>160</v>
      </c>
      <c r="K241" s="7">
        <f>I241*J241</f>
        <v/>
      </c>
    </row>
    <row r="242">
      <c r="A242" s="8" t="n">
        <v>238</v>
      </c>
      <c r="B242" s="8" t="inlineStr">
        <is>
          <t>ORD-20260286</t>
        </is>
      </c>
      <c r="C242" s="8" t="inlineStr">
        <is>
          <t>2026-09-29</t>
        </is>
      </c>
      <c r="D242" s="8" t="inlineStr">
        <is>
          <t>CUST-1011</t>
        </is>
      </c>
      <c r="E242" s="9" t="inlineStr">
        <is>
          <t>許文彬</t>
        </is>
      </c>
      <c r="F242" s="8" t="inlineStr">
        <is>
          <t>飲品</t>
        </is>
      </c>
      <c r="G242" s="8" t="inlineStr">
        <is>
          <t>DRK-04</t>
        </is>
      </c>
      <c r="H242" s="9" t="inlineStr">
        <is>
          <t>特調酸梅湯</t>
        </is>
      </c>
      <c r="I242" s="10" t="n">
        <v>2</v>
      </c>
      <c r="J242" s="11" t="n">
        <v>80</v>
      </c>
      <c r="K242" s="11">
        <f>I242*J242</f>
        <v/>
      </c>
    </row>
    <row r="243">
      <c r="A243" s="4" t="n">
        <v>239</v>
      </c>
      <c r="B243" s="4" t="inlineStr">
        <is>
          <t>ORD-20260028</t>
        </is>
      </c>
      <c r="C243" s="4" t="inlineStr">
        <is>
          <t>2026-09-30</t>
        </is>
      </c>
      <c r="D243" s="4" t="inlineStr">
        <is>
          <t>CUST-1010</t>
        </is>
      </c>
      <c r="E243" s="5" t="inlineStr">
        <is>
          <t>楊宗翰</t>
        </is>
      </c>
      <c r="F243" s="4" t="inlineStr">
        <is>
          <t>海鮮</t>
        </is>
      </c>
      <c r="G243" s="4" t="inlineStr">
        <is>
          <t>SEA-02</t>
        </is>
      </c>
      <c r="H243" s="5" t="inlineStr">
        <is>
          <t>豆酥鱈魚</t>
        </is>
      </c>
      <c r="I243" s="6" t="n">
        <v>1</v>
      </c>
      <c r="J243" s="7" t="n">
        <v>240</v>
      </c>
      <c r="K243" s="7">
        <f>I243*J243</f>
        <v/>
      </c>
    </row>
    <row r="244">
      <c r="A244" s="8" t="n">
        <v>240</v>
      </c>
      <c r="B244" s="8" t="inlineStr">
        <is>
          <t>ORD-20260039</t>
        </is>
      </c>
      <c r="C244" s="8" t="inlineStr">
        <is>
          <t>2026-09-30</t>
        </is>
      </c>
      <c r="D244" s="8" t="inlineStr">
        <is>
          <t>CUST-1001</t>
        </is>
      </c>
      <c r="E244" s="9" t="inlineStr">
        <is>
          <t>陳建宏</t>
        </is>
      </c>
      <c r="F244" s="8" t="inlineStr">
        <is>
          <t>飲品</t>
        </is>
      </c>
      <c r="G244" s="8" t="inlineStr">
        <is>
          <t>DRK-06</t>
        </is>
      </c>
      <c r="H244" s="9" t="inlineStr">
        <is>
          <t>古早味紅茶豆漿</t>
        </is>
      </c>
      <c r="I244" s="10" t="n">
        <v>2</v>
      </c>
      <c r="J244" s="11" t="n">
        <v>80</v>
      </c>
      <c r="K244" s="11">
        <f>I244*J244</f>
        <v/>
      </c>
    </row>
    <row r="245">
      <c r="A245" s="4" t="n">
        <v>241</v>
      </c>
      <c r="B245" s="4" t="inlineStr">
        <is>
          <t>ORD-20260135</t>
        </is>
      </c>
      <c r="C245" s="4" t="inlineStr">
        <is>
          <t>2026-09-30</t>
        </is>
      </c>
      <c r="D245" s="4" t="inlineStr">
        <is>
          <t>CUST-1029</t>
        </is>
      </c>
      <c r="E245" s="5" t="inlineStr">
        <is>
          <t>莊佩珊</t>
        </is>
      </c>
      <c r="F245" s="4" t="inlineStr">
        <is>
          <t>蔬菜</t>
        </is>
      </c>
      <c r="G245" s="4" t="inlineStr">
        <is>
          <t>VEG-07</t>
        </is>
      </c>
      <c r="H245" s="5" t="inlineStr">
        <is>
          <t>開陽白菜滷</t>
        </is>
      </c>
      <c r="I245" s="6" t="n">
        <v>1</v>
      </c>
      <c r="J245" s="7" t="n">
        <v>130</v>
      </c>
      <c r="K245" s="7">
        <f>I245*J245</f>
        <v/>
      </c>
    </row>
    <row r="246">
      <c r="A246" s="8" t="n">
        <v>242</v>
      </c>
      <c r="B246" s="8" t="inlineStr">
        <is>
          <t>ORD-20260141</t>
        </is>
      </c>
      <c r="C246" s="8" t="inlineStr">
        <is>
          <t>2026-09-30</t>
        </is>
      </c>
      <c r="D246" s="8" t="inlineStr">
        <is>
          <t>CUST-1027</t>
        </is>
      </c>
      <c r="E246" s="9" t="inlineStr">
        <is>
          <t>羅雅惠</t>
        </is>
      </c>
      <c r="F246" s="8" t="inlineStr">
        <is>
          <t>主食</t>
        </is>
      </c>
      <c r="G246" s="8" t="inlineStr">
        <is>
          <t>STA-06</t>
        </is>
      </c>
      <c r="H246" s="9" t="inlineStr">
        <is>
          <t>麻油雞煨飯</t>
        </is>
      </c>
      <c r="I246" s="10" t="n">
        <v>1</v>
      </c>
      <c r="J246" s="11" t="n">
        <v>180</v>
      </c>
      <c r="K246" s="11">
        <f>I246*J246</f>
        <v/>
      </c>
    </row>
    <row r="247">
      <c r="A247" s="4" t="n">
        <v>243</v>
      </c>
      <c r="B247" s="4" t="inlineStr">
        <is>
          <t>ORD-20260147</t>
        </is>
      </c>
      <c r="C247" s="4" t="inlineStr">
        <is>
          <t>2026-09-30</t>
        </is>
      </c>
      <c r="D247" s="4" t="inlineStr">
        <is>
          <t>CUST-1009</t>
        </is>
      </c>
      <c r="E247" s="5" t="inlineStr">
        <is>
          <t>蔡佩君</t>
        </is>
      </c>
      <c r="F247" s="4" t="inlineStr">
        <is>
          <t>湯品</t>
        </is>
      </c>
      <c r="G247" s="4" t="inlineStr">
        <is>
          <t>SOU-01</t>
        </is>
      </c>
      <c r="H247" s="5" t="inlineStr">
        <is>
          <t>剝皮辣椒雞湯</t>
        </is>
      </c>
      <c r="I247" s="6" t="n">
        <v>8</v>
      </c>
      <c r="J247" s="7" t="n">
        <v>220</v>
      </c>
      <c r="K247" s="7">
        <f>I247*J247</f>
        <v/>
      </c>
    </row>
    <row r="248">
      <c r="A248" s="8" t="n">
        <v>244</v>
      </c>
      <c r="B248" s="8" t="inlineStr">
        <is>
          <t>ORD-20260169</t>
        </is>
      </c>
      <c r="C248" s="8" t="inlineStr">
        <is>
          <t>2026-09-30</t>
        </is>
      </c>
      <c r="D248" s="8" t="inlineStr">
        <is>
          <t>CUST-1012</t>
        </is>
      </c>
      <c r="E248" s="9" t="inlineStr">
        <is>
          <t>鄭雅雯</t>
        </is>
      </c>
      <c r="F248" s="8" t="inlineStr">
        <is>
          <t>冷盤</t>
        </is>
      </c>
      <c r="G248" s="8" t="inlineStr">
        <is>
          <t>APP-04</t>
        </is>
      </c>
      <c r="H248" s="9" t="inlineStr">
        <is>
          <t>台式涼拌小黃瓜</t>
        </is>
      </c>
      <c r="I248" s="10" t="n">
        <v>2</v>
      </c>
      <c r="J248" s="11" t="n">
        <v>80</v>
      </c>
      <c r="K248" s="11">
        <f>I248*J248</f>
        <v/>
      </c>
    </row>
    <row r="249">
      <c r="A249" s="4" t="n">
        <v>245</v>
      </c>
      <c r="B249" s="4" t="inlineStr">
        <is>
          <t>ORD-20260192</t>
        </is>
      </c>
      <c r="C249" s="4" t="inlineStr">
        <is>
          <t>2026-09-30</t>
        </is>
      </c>
      <c r="D249" s="4" t="inlineStr">
        <is>
          <t>CUST-1028</t>
        </is>
      </c>
      <c r="E249" s="5" t="inlineStr">
        <is>
          <t>蘇志強</t>
        </is>
      </c>
      <c r="F249" s="4" t="inlineStr">
        <is>
          <t>飲品</t>
        </is>
      </c>
      <c r="G249" s="4" t="inlineStr">
        <is>
          <t>DRK-06</t>
        </is>
      </c>
      <c r="H249" s="5" t="inlineStr">
        <is>
          <t>古早味紅茶豆漿</t>
        </is>
      </c>
      <c r="I249" s="6" t="n">
        <v>2</v>
      </c>
      <c r="J249" s="7" t="n">
        <v>80</v>
      </c>
      <c r="K249" s="7">
        <f>I249*J249</f>
        <v/>
      </c>
    </row>
    <row r="250">
      <c r="A250" s="8" t="n">
        <v>246</v>
      </c>
      <c r="B250" s="8" t="inlineStr">
        <is>
          <t>ORD-20260252</t>
        </is>
      </c>
      <c r="C250" s="8" t="inlineStr">
        <is>
          <t>2026-09-30</t>
        </is>
      </c>
      <c r="D250" s="8" t="inlineStr">
        <is>
          <t>CUST-1027</t>
        </is>
      </c>
      <c r="E250" s="9" t="inlineStr">
        <is>
          <t>羅雅惠</t>
        </is>
      </c>
      <c r="F250" s="8" t="inlineStr">
        <is>
          <t>冷盤</t>
        </is>
      </c>
      <c r="G250" s="8" t="inlineStr">
        <is>
          <t>APP-04</t>
        </is>
      </c>
      <c r="H250" s="9" t="inlineStr">
        <is>
          <t>台式涼拌小黃瓜</t>
        </is>
      </c>
      <c r="I250" s="10" t="n">
        <v>1</v>
      </c>
      <c r="J250" s="11" t="n">
        <v>80</v>
      </c>
      <c r="K250" s="11">
        <f>I250*J250</f>
        <v/>
      </c>
    </row>
    <row r="251">
      <c r="A251" s="4" t="n">
        <v>247</v>
      </c>
      <c r="B251" s="4" t="inlineStr">
        <is>
          <t>ORD-20260295</t>
        </is>
      </c>
      <c r="C251" s="4" t="inlineStr">
        <is>
          <t>2026-09-30</t>
        </is>
      </c>
      <c r="D251" s="4" t="inlineStr">
        <is>
          <t>CUST-1019</t>
        </is>
      </c>
      <c r="E251" s="5" t="inlineStr">
        <is>
          <t>賴彥宏</t>
        </is>
      </c>
      <c r="F251" s="4" t="inlineStr">
        <is>
          <t>飲品</t>
        </is>
      </c>
      <c r="G251" s="4" t="inlineStr">
        <is>
          <t>DRK-03</t>
        </is>
      </c>
      <c r="H251" s="5" t="inlineStr">
        <is>
          <t>台南冷泡高山青茶</t>
        </is>
      </c>
      <c r="I251" s="6" t="n">
        <v>10</v>
      </c>
      <c r="J251" s="7" t="n">
        <v>80</v>
      </c>
      <c r="K251" s="7">
        <f>I251*J251</f>
        <v/>
      </c>
    </row>
    <row r="252">
      <c r="A252" s="8" t="n">
        <v>248</v>
      </c>
      <c r="B252" s="8" t="inlineStr">
        <is>
          <t>ORD-20260313</t>
        </is>
      </c>
      <c r="C252" s="8" t="inlineStr">
        <is>
          <t>2026-09-30</t>
        </is>
      </c>
      <c r="D252" s="8" t="inlineStr">
        <is>
          <t>CUST-1005</t>
        </is>
      </c>
      <c r="E252" s="9" t="inlineStr">
        <is>
          <t>李雅婷</t>
        </is>
      </c>
      <c r="F252" s="8" t="inlineStr">
        <is>
          <t>肉品</t>
        </is>
      </c>
      <c r="G252" s="8" t="inlineStr">
        <is>
          <t>MEA-03</t>
        </is>
      </c>
      <c r="H252" s="9" t="inlineStr">
        <is>
          <t>客家小炒</t>
        </is>
      </c>
      <c r="I252" s="10" t="n">
        <v>1</v>
      </c>
      <c r="J252" s="11" t="n">
        <v>190</v>
      </c>
      <c r="K252" s="11">
        <f>I252*J252</f>
        <v/>
      </c>
    </row>
    <row r="253">
      <c r="A253" s="4" t="n">
        <v>249</v>
      </c>
      <c r="B253" s="4" t="inlineStr">
        <is>
          <t>ORD-20260049</t>
        </is>
      </c>
      <c r="C253" s="4" t="inlineStr">
        <is>
          <t>2026-10-01</t>
        </is>
      </c>
      <c r="D253" s="4" t="inlineStr">
        <is>
          <t>CUST-1036</t>
        </is>
      </c>
      <c r="E253" s="5" t="inlineStr">
        <is>
          <t>聯發創新團隊</t>
        </is>
      </c>
      <c r="F253" s="4" t="inlineStr">
        <is>
          <t>肉品</t>
        </is>
      </c>
      <c r="G253" s="4" t="inlineStr">
        <is>
          <t>MEA-04</t>
        </is>
      </c>
      <c r="H253" s="5" t="inlineStr">
        <is>
          <t>醬燒蔥爆牛肉</t>
        </is>
      </c>
      <c r="I253" s="6" t="n">
        <v>2</v>
      </c>
      <c r="J253" s="7" t="n">
        <v>230</v>
      </c>
      <c r="K253" s="7">
        <f>I253*J253</f>
        <v/>
      </c>
    </row>
    <row r="254">
      <c r="A254" s="8" t="n">
        <v>250</v>
      </c>
      <c r="B254" s="8" t="inlineStr">
        <is>
          <t>ORD-20260161</t>
        </is>
      </c>
      <c r="C254" s="8" t="inlineStr">
        <is>
          <t>2026-10-01</t>
        </is>
      </c>
      <c r="D254" s="8" t="inlineStr">
        <is>
          <t>CUST-1001</t>
        </is>
      </c>
      <c r="E254" s="9" t="inlineStr">
        <is>
          <t>陳建宏</t>
        </is>
      </c>
      <c r="F254" s="8" t="inlineStr">
        <is>
          <t>蔬菜</t>
        </is>
      </c>
      <c r="G254" s="8" t="inlineStr">
        <is>
          <t>VEG-01</t>
        </is>
      </c>
      <c r="H254" s="9" t="inlineStr">
        <is>
          <t>清炒高麗菜</t>
        </is>
      </c>
      <c r="I254" s="10" t="n">
        <v>2</v>
      </c>
      <c r="J254" s="11" t="n">
        <v>110</v>
      </c>
      <c r="K254" s="11">
        <f>I254*J254</f>
        <v/>
      </c>
    </row>
    <row r="255">
      <c r="A255" s="4" t="n">
        <v>251</v>
      </c>
      <c r="B255" s="4" t="inlineStr">
        <is>
          <t>ORD-20260204</t>
        </is>
      </c>
      <c r="C255" s="4" t="inlineStr">
        <is>
          <t>2026-10-01</t>
        </is>
      </c>
      <c r="D255" s="4" t="inlineStr">
        <is>
          <t>CUST-1036</t>
        </is>
      </c>
      <c r="E255" s="5" t="inlineStr">
        <is>
          <t>聯發創新團隊</t>
        </is>
      </c>
      <c r="F255" s="4" t="inlineStr">
        <is>
          <t>湯品</t>
        </is>
      </c>
      <c r="G255" s="4" t="inlineStr">
        <is>
          <t>SOU-05</t>
        </is>
      </c>
      <c r="H255" s="5" t="inlineStr">
        <is>
          <t>古早味西魯肉湯</t>
        </is>
      </c>
      <c r="I255" s="6" t="n">
        <v>3</v>
      </c>
      <c r="J255" s="7" t="n">
        <v>190</v>
      </c>
      <c r="K255" s="7">
        <f>I255*J255</f>
        <v/>
      </c>
    </row>
    <row r="256">
      <c r="A256" s="8" t="n">
        <v>252</v>
      </c>
      <c r="B256" s="8" t="inlineStr">
        <is>
          <t>ORD-20260217</t>
        </is>
      </c>
      <c r="C256" s="8" t="inlineStr">
        <is>
          <t>2026-10-01</t>
        </is>
      </c>
      <c r="D256" s="8" t="inlineStr">
        <is>
          <t>CUST-1031</t>
        </is>
      </c>
      <c r="E256" s="9" t="inlineStr">
        <is>
          <t>宏達數位科技</t>
        </is>
      </c>
      <c r="F256" s="8" t="inlineStr">
        <is>
          <t>蔬菜</t>
        </is>
      </c>
      <c r="G256" s="8" t="inlineStr">
        <is>
          <t>VEG-07</t>
        </is>
      </c>
      <c r="H256" s="9" t="inlineStr">
        <is>
          <t>開陽白菜滷</t>
        </is>
      </c>
      <c r="I256" s="10" t="n">
        <v>2</v>
      </c>
      <c r="J256" s="11" t="n">
        <v>130</v>
      </c>
      <c r="K256" s="11">
        <f>I256*J256</f>
        <v/>
      </c>
    </row>
    <row r="257">
      <c r="A257" s="4" t="n">
        <v>253</v>
      </c>
      <c r="B257" s="4" t="inlineStr">
        <is>
          <t>ORD-20260243</t>
        </is>
      </c>
      <c r="C257" s="4" t="inlineStr">
        <is>
          <t>2026-10-01</t>
        </is>
      </c>
      <c r="D257" s="4" t="inlineStr">
        <is>
          <t>CUST-1034</t>
        </is>
      </c>
      <c r="E257" s="5" t="inlineStr">
        <is>
          <t>富邦行銷企劃</t>
        </is>
      </c>
      <c r="F257" s="4" t="inlineStr">
        <is>
          <t>飲品</t>
        </is>
      </c>
      <c r="G257" s="4" t="inlineStr">
        <is>
          <t>DRK-01</t>
        </is>
      </c>
      <c r="H257" s="5" t="inlineStr">
        <is>
          <t>古早味冬瓜檸檬</t>
        </is>
      </c>
      <c r="I257" s="6" t="n">
        <v>5</v>
      </c>
      <c r="J257" s="7" t="n">
        <v>80</v>
      </c>
      <c r="K257" s="7">
        <f>I257*J257</f>
        <v/>
      </c>
    </row>
    <row r="258">
      <c r="A258" s="8" t="n">
        <v>254</v>
      </c>
      <c r="B258" s="8" t="inlineStr">
        <is>
          <t>ORD-20260076</t>
        </is>
      </c>
      <c r="C258" s="8" t="inlineStr">
        <is>
          <t>2026-10-02</t>
        </is>
      </c>
      <c r="D258" s="8" t="inlineStr">
        <is>
          <t>CUST-1010</t>
        </is>
      </c>
      <c r="E258" s="9" t="inlineStr">
        <is>
          <t>楊宗翰</t>
        </is>
      </c>
      <c r="F258" s="8" t="inlineStr">
        <is>
          <t>肉品</t>
        </is>
      </c>
      <c r="G258" s="8" t="inlineStr">
        <is>
          <t>MEA-06</t>
        </is>
      </c>
      <c r="H258" s="9" t="inlineStr">
        <is>
          <t>香酥炸排骨</t>
        </is>
      </c>
      <c r="I258" s="10" t="n">
        <v>2</v>
      </c>
      <c r="J258" s="11" t="n">
        <v>160</v>
      </c>
      <c r="K258" s="11">
        <f>I258*J258</f>
        <v/>
      </c>
    </row>
    <row r="259">
      <c r="A259" s="4" t="n">
        <v>255</v>
      </c>
      <c r="B259" s="4" t="inlineStr">
        <is>
          <t>ORD-20260200</t>
        </is>
      </c>
      <c r="C259" s="4" t="inlineStr">
        <is>
          <t>2026-10-02</t>
        </is>
      </c>
      <c r="D259" s="4" t="inlineStr">
        <is>
          <t>CUST-1036</t>
        </is>
      </c>
      <c r="E259" s="5" t="inlineStr">
        <is>
          <t>聯發創新團隊</t>
        </is>
      </c>
      <c r="F259" s="4" t="inlineStr">
        <is>
          <t>海鮮</t>
        </is>
      </c>
      <c r="G259" s="4" t="inlineStr">
        <is>
          <t>SEA-01</t>
        </is>
      </c>
      <c r="H259" s="5" t="inlineStr">
        <is>
          <t>鳳梨蝦球</t>
        </is>
      </c>
      <c r="I259" s="6" t="n">
        <v>6</v>
      </c>
      <c r="J259" s="7" t="n">
        <v>250</v>
      </c>
      <c r="K259" s="7">
        <f>I259*J259</f>
        <v/>
      </c>
    </row>
    <row r="260">
      <c r="A260" s="8" t="n">
        <v>256</v>
      </c>
      <c r="B260" s="8" t="inlineStr">
        <is>
          <t>ORD-20260201</t>
        </is>
      </c>
      <c r="C260" s="8" t="inlineStr">
        <is>
          <t>2026-10-02</t>
        </is>
      </c>
      <c r="D260" s="8" t="inlineStr">
        <is>
          <t>CUST-1029</t>
        </is>
      </c>
      <c r="E260" s="9" t="inlineStr">
        <is>
          <t>莊佩珊</t>
        </is>
      </c>
      <c r="F260" s="8" t="inlineStr">
        <is>
          <t>冷盤</t>
        </is>
      </c>
      <c r="G260" s="8" t="inlineStr">
        <is>
          <t>APP-02</t>
        </is>
      </c>
      <c r="H260" s="9" t="inlineStr">
        <is>
          <t>五味透抽</t>
        </is>
      </c>
      <c r="I260" s="10" t="n">
        <v>1</v>
      </c>
      <c r="J260" s="11" t="n">
        <v>220</v>
      </c>
      <c r="K260" s="11">
        <f>I260*J260</f>
        <v/>
      </c>
    </row>
    <row r="261">
      <c r="A261" s="4" t="n">
        <v>257</v>
      </c>
      <c r="B261" s="4" t="inlineStr">
        <is>
          <t>ORD-20260216</t>
        </is>
      </c>
      <c r="C261" s="4" t="inlineStr">
        <is>
          <t>2026-10-02</t>
        </is>
      </c>
      <c r="D261" s="4" t="inlineStr">
        <is>
          <t>CUST-1007</t>
        </is>
      </c>
      <c r="E261" s="5" t="inlineStr">
        <is>
          <t>吳美玲</t>
        </is>
      </c>
      <c r="F261" s="4" t="inlineStr">
        <is>
          <t>冷盤</t>
        </is>
      </c>
      <c r="G261" s="4" t="inlineStr">
        <is>
          <t>APP-01</t>
        </is>
      </c>
      <c r="H261" s="5" t="inlineStr">
        <is>
          <t>台式蒜泥白肉</t>
        </is>
      </c>
      <c r="I261" s="6" t="n">
        <v>2</v>
      </c>
      <c r="J261" s="7" t="n">
        <v>160</v>
      </c>
      <c r="K261" s="7">
        <f>I261*J261</f>
        <v/>
      </c>
    </row>
    <row r="262">
      <c r="A262" s="8" t="n">
        <v>258</v>
      </c>
      <c r="B262" s="8" t="inlineStr">
        <is>
          <t>ORD-20260239</t>
        </is>
      </c>
      <c r="C262" s="8" t="inlineStr">
        <is>
          <t>2026-10-02</t>
        </is>
      </c>
      <c r="D262" s="8" t="inlineStr">
        <is>
          <t>CUST-1029</t>
        </is>
      </c>
      <c r="E262" s="9" t="inlineStr">
        <is>
          <t>莊佩珊</t>
        </is>
      </c>
      <c r="F262" s="8" t="inlineStr">
        <is>
          <t>冷盤</t>
        </is>
      </c>
      <c r="G262" s="8" t="inlineStr">
        <is>
          <t>APP-06</t>
        </is>
      </c>
      <c r="H262" s="9" t="inlineStr">
        <is>
          <t>涼拌海蜇皮</t>
        </is>
      </c>
      <c r="I262" s="10" t="n">
        <v>1</v>
      </c>
      <c r="J262" s="11" t="n">
        <v>180</v>
      </c>
      <c r="K262" s="11">
        <f>I262*J262</f>
        <v/>
      </c>
    </row>
    <row r="263">
      <c r="A263" s="4" t="n">
        <v>259</v>
      </c>
      <c r="B263" s="4" t="inlineStr">
        <is>
          <t>ORD-20260245</t>
        </is>
      </c>
      <c r="C263" s="4" t="inlineStr">
        <is>
          <t>2026-10-02</t>
        </is>
      </c>
      <c r="D263" s="4" t="inlineStr">
        <is>
          <t>CUST-1006</t>
        </is>
      </c>
      <c r="E263" s="5" t="inlineStr">
        <is>
          <t>王俊傑</t>
        </is>
      </c>
      <c r="F263" s="4" t="inlineStr">
        <is>
          <t>湯品</t>
        </is>
      </c>
      <c r="G263" s="4" t="inlineStr">
        <is>
          <t>SOU-02</t>
        </is>
      </c>
      <c r="H263" s="5" t="inlineStr">
        <is>
          <t>鳳梨苦瓜雞湯</t>
        </is>
      </c>
      <c r="I263" s="6" t="n">
        <v>3</v>
      </c>
      <c r="J263" s="7" t="n">
        <v>210</v>
      </c>
      <c r="K263" s="7">
        <f>I263*J263</f>
        <v/>
      </c>
    </row>
    <row r="264">
      <c r="A264" s="8" t="n">
        <v>260</v>
      </c>
      <c r="B264" s="8" t="inlineStr">
        <is>
          <t>ORD-20260261</t>
        </is>
      </c>
      <c r="C264" s="8" t="inlineStr">
        <is>
          <t>2026-10-02</t>
        </is>
      </c>
      <c r="D264" s="8" t="inlineStr">
        <is>
          <t>CUST-1046</t>
        </is>
      </c>
      <c r="E264" s="9" t="inlineStr">
        <is>
          <t>戴育德</t>
        </is>
      </c>
      <c r="F264" s="8" t="inlineStr">
        <is>
          <t>海鮮</t>
        </is>
      </c>
      <c r="G264" s="8" t="inlineStr">
        <is>
          <t>SEA-04</t>
        </is>
      </c>
      <c r="H264" s="9" t="inlineStr">
        <is>
          <t>金沙中卷</t>
        </is>
      </c>
      <c r="I264" s="10" t="n">
        <v>8</v>
      </c>
      <c r="J264" s="11" t="n">
        <v>230</v>
      </c>
      <c r="K264" s="11">
        <f>I264*J264</f>
        <v/>
      </c>
    </row>
    <row r="265">
      <c r="A265" s="4" t="n">
        <v>261</v>
      </c>
      <c r="B265" s="4" t="inlineStr">
        <is>
          <t>ORD-20260274</t>
        </is>
      </c>
      <c r="C265" s="4" t="inlineStr">
        <is>
          <t>2026-10-02</t>
        </is>
      </c>
      <c r="D265" s="4" t="inlineStr">
        <is>
          <t>CUST-1003</t>
        </is>
      </c>
      <c r="E265" s="5" t="inlineStr">
        <is>
          <t>張淑芬</t>
        </is>
      </c>
      <c r="F265" s="4" t="inlineStr">
        <is>
          <t>肉品</t>
        </is>
      </c>
      <c r="G265" s="4" t="inlineStr">
        <is>
          <t>MEA-02</t>
        </is>
      </c>
      <c r="H265" s="5" t="inlineStr">
        <is>
          <t>阿嬤紅燒肉</t>
        </is>
      </c>
      <c r="I265" s="6" t="n">
        <v>8</v>
      </c>
      <c r="J265" s="7" t="n">
        <v>220</v>
      </c>
      <c r="K265" s="7">
        <f>I265*J265</f>
        <v/>
      </c>
    </row>
    <row r="266">
      <c r="A266" s="8" t="n">
        <v>262</v>
      </c>
      <c r="B266" s="8" t="inlineStr">
        <is>
          <t>ORD-20260005</t>
        </is>
      </c>
      <c r="C266" s="8" t="inlineStr">
        <is>
          <t>2026-10-03</t>
        </is>
      </c>
      <c r="D266" s="8" t="inlineStr">
        <is>
          <t>CUST-1039</t>
        </is>
      </c>
      <c r="E266" s="9" t="inlineStr">
        <is>
          <t>華碩雲端部門</t>
        </is>
      </c>
      <c r="F266" s="8" t="inlineStr">
        <is>
          <t>冷盤</t>
        </is>
      </c>
      <c r="G266" s="8" t="inlineStr">
        <is>
          <t>APP-02</t>
        </is>
      </c>
      <c r="H266" s="9" t="inlineStr">
        <is>
          <t>五味透抽</t>
        </is>
      </c>
      <c r="I266" s="10" t="n">
        <v>10</v>
      </c>
      <c r="J266" s="11" t="n">
        <v>220</v>
      </c>
      <c r="K266" s="11">
        <f>I266*J266</f>
        <v/>
      </c>
    </row>
    <row r="267">
      <c r="A267" s="4" t="n">
        <v>263</v>
      </c>
      <c r="B267" s="4" t="inlineStr">
        <is>
          <t>ORD-20260040</t>
        </is>
      </c>
      <c r="C267" s="4" t="inlineStr">
        <is>
          <t>2026-10-03</t>
        </is>
      </c>
      <c r="D267" s="4" t="inlineStr">
        <is>
          <t>CUST-1049</t>
        </is>
      </c>
      <c r="E267" s="5" t="inlineStr">
        <is>
          <t>蕭雅涵</t>
        </is>
      </c>
      <c r="F267" s="4" t="inlineStr">
        <is>
          <t>肉品</t>
        </is>
      </c>
      <c r="G267" s="4" t="inlineStr">
        <is>
          <t>MEA-05</t>
        </is>
      </c>
      <c r="H267" s="5" t="inlineStr">
        <is>
          <t>糖醋里肌肉</t>
        </is>
      </c>
      <c r="I267" s="6" t="n">
        <v>8</v>
      </c>
      <c r="J267" s="7" t="n">
        <v>200</v>
      </c>
      <c r="K267" s="7">
        <f>I267*J267</f>
        <v/>
      </c>
    </row>
    <row r="268">
      <c r="A268" s="8" t="n">
        <v>264</v>
      </c>
      <c r="B268" s="8" t="inlineStr">
        <is>
          <t>ORD-20260099</t>
        </is>
      </c>
      <c r="C268" s="8" t="inlineStr">
        <is>
          <t>2026-10-03</t>
        </is>
      </c>
      <c r="D268" s="8" t="inlineStr">
        <is>
          <t>CUST-1032</t>
        </is>
      </c>
      <c r="E268" s="9" t="inlineStr">
        <is>
          <t>國泰聯合事務所</t>
        </is>
      </c>
      <c r="F268" s="8" t="inlineStr">
        <is>
          <t>海鮮</t>
        </is>
      </c>
      <c r="G268" s="8" t="inlineStr">
        <is>
          <t>SEA-02</t>
        </is>
      </c>
      <c r="H268" s="9" t="inlineStr">
        <is>
          <t>豆酥鱈魚</t>
        </is>
      </c>
      <c r="I268" s="10" t="n">
        <v>1</v>
      </c>
      <c r="J268" s="11" t="n">
        <v>240</v>
      </c>
      <c r="K268" s="11">
        <f>I268*J268</f>
        <v/>
      </c>
    </row>
    <row r="269">
      <c r="A269" s="4" t="n">
        <v>265</v>
      </c>
      <c r="B269" s="4" t="inlineStr">
        <is>
          <t>ORD-20260136</t>
        </is>
      </c>
      <c r="C269" s="4" t="inlineStr">
        <is>
          <t>2026-10-03</t>
        </is>
      </c>
      <c r="D269" s="4" t="inlineStr">
        <is>
          <t>CUST-1031</t>
        </is>
      </c>
      <c r="E269" s="5" t="inlineStr">
        <is>
          <t>宏達數位科技</t>
        </is>
      </c>
      <c r="F269" s="4" t="inlineStr">
        <is>
          <t>肉品</t>
        </is>
      </c>
      <c r="G269" s="4" t="inlineStr">
        <is>
          <t>MEA-04</t>
        </is>
      </c>
      <c r="H269" s="5" t="inlineStr">
        <is>
          <t>醬燒蔥爆牛肉</t>
        </is>
      </c>
      <c r="I269" s="6" t="n">
        <v>1</v>
      </c>
      <c r="J269" s="7" t="n">
        <v>230</v>
      </c>
      <c r="K269" s="7">
        <f>I269*J269</f>
        <v/>
      </c>
    </row>
    <row r="270">
      <c r="A270" s="8" t="n">
        <v>266</v>
      </c>
      <c r="B270" s="8" t="inlineStr">
        <is>
          <t>ORD-20260187</t>
        </is>
      </c>
      <c r="C270" s="8" t="inlineStr">
        <is>
          <t>2026-10-03</t>
        </is>
      </c>
      <c r="D270" s="8" t="inlineStr">
        <is>
          <t>CUST-1042</t>
        </is>
      </c>
      <c r="E270" s="9" t="inlineStr">
        <is>
          <t>簡銘成</t>
        </is>
      </c>
      <c r="F270" s="8" t="inlineStr">
        <is>
          <t>海鮮</t>
        </is>
      </c>
      <c r="G270" s="8" t="inlineStr">
        <is>
          <t>SEA-07</t>
        </is>
      </c>
      <c r="H270" s="9" t="inlineStr">
        <is>
          <t>生炒花枝</t>
        </is>
      </c>
      <c r="I270" s="10" t="n">
        <v>1</v>
      </c>
      <c r="J270" s="11" t="n">
        <v>200</v>
      </c>
      <c r="K270" s="11">
        <f>I270*J270</f>
        <v/>
      </c>
    </row>
    <row r="271">
      <c r="A271" s="4" t="n">
        <v>267</v>
      </c>
      <c r="B271" s="4" t="inlineStr">
        <is>
          <t>ORD-20260251</t>
        </is>
      </c>
      <c r="C271" s="4" t="inlineStr">
        <is>
          <t>2026-10-03</t>
        </is>
      </c>
      <c r="D271" s="4" t="inlineStr">
        <is>
          <t>CUST-1001</t>
        </is>
      </c>
      <c r="E271" s="5" t="inlineStr">
        <is>
          <t>陳建宏</t>
        </is>
      </c>
      <c r="F271" s="4" t="inlineStr">
        <is>
          <t>飲品</t>
        </is>
      </c>
      <c r="G271" s="4" t="inlineStr">
        <is>
          <t>DRK-02</t>
        </is>
      </c>
      <c r="H271" s="5" t="inlineStr">
        <is>
          <t>黑糖珍珠鮮奶</t>
        </is>
      </c>
      <c r="I271" s="6" t="n">
        <v>10</v>
      </c>
      <c r="J271" s="7" t="n">
        <v>90</v>
      </c>
      <c r="K271" s="7">
        <f>I271*J271</f>
        <v/>
      </c>
    </row>
    <row r="272">
      <c r="A272" s="8" t="n">
        <v>268</v>
      </c>
      <c r="B272" s="8" t="inlineStr">
        <is>
          <t>ORD-20260050</t>
        </is>
      </c>
      <c r="C272" s="8" t="inlineStr">
        <is>
          <t>2026-10-04</t>
        </is>
      </c>
      <c r="D272" s="8" t="inlineStr">
        <is>
          <t>CUST-1039</t>
        </is>
      </c>
      <c r="E272" s="9" t="inlineStr">
        <is>
          <t>華碩雲端部門</t>
        </is>
      </c>
      <c r="F272" s="8" t="inlineStr">
        <is>
          <t>蔬菜</t>
        </is>
      </c>
      <c r="G272" s="8" t="inlineStr">
        <is>
          <t>VEG-06</t>
        </is>
      </c>
      <c r="H272" s="9" t="inlineStr">
        <is>
          <t>吻仔魚莧菜</t>
        </is>
      </c>
      <c r="I272" s="10" t="n">
        <v>1</v>
      </c>
      <c r="J272" s="11" t="n">
        <v>140</v>
      </c>
      <c r="K272" s="11">
        <f>I272*J272</f>
        <v/>
      </c>
    </row>
    <row r="273">
      <c r="A273" s="4" t="n">
        <v>269</v>
      </c>
      <c r="B273" s="4" t="inlineStr">
        <is>
          <t>ORD-20260080</t>
        </is>
      </c>
      <c r="C273" s="4" t="inlineStr">
        <is>
          <t>2026-10-04</t>
        </is>
      </c>
      <c r="D273" s="4" t="inlineStr">
        <is>
          <t>CUST-1011</t>
        </is>
      </c>
      <c r="E273" s="5" t="inlineStr">
        <is>
          <t>許文彬</t>
        </is>
      </c>
      <c r="F273" s="4" t="inlineStr">
        <is>
          <t>冷盤</t>
        </is>
      </c>
      <c r="G273" s="4" t="inlineStr">
        <is>
          <t>APP-04</t>
        </is>
      </c>
      <c r="H273" s="5" t="inlineStr">
        <is>
          <t>台式涼拌小黃瓜</t>
        </is>
      </c>
      <c r="I273" s="6" t="n">
        <v>8</v>
      </c>
      <c r="J273" s="7" t="n">
        <v>80</v>
      </c>
      <c r="K273" s="7">
        <f>I273*J273</f>
        <v/>
      </c>
    </row>
    <row r="274">
      <c r="A274" s="8" t="n">
        <v>270</v>
      </c>
      <c r="B274" s="8" t="inlineStr">
        <is>
          <t>ORD-20260126</t>
        </is>
      </c>
      <c r="C274" s="8" t="inlineStr">
        <is>
          <t>2026-10-04</t>
        </is>
      </c>
      <c r="D274" s="8" t="inlineStr">
        <is>
          <t>CUST-1035</t>
        </is>
      </c>
      <c r="E274" s="9" t="inlineStr">
        <is>
          <t>台塑顧問公司</t>
        </is>
      </c>
      <c r="F274" s="8" t="inlineStr">
        <is>
          <t>飲品</t>
        </is>
      </c>
      <c r="G274" s="8" t="inlineStr">
        <is>
          <t>DRK-03</t>
        </is>
      </c>
      <c r="H274" s="9" t="inlineStr">
        <is>
          <t>台南冷泡高山青茶</t>
        </is>
      </c>
      <c r="I274" s="10" t="n">
        <v>1</v>
      </c>
      <c r="J274" s="11" t="n">
        <v>80</v>
      </c>
      <c r="K274" s="11">
        <f>I274*J274</f>
        <v/>
      </c>
    </row>
    <row r="275">
      <c r="A275" s="4" t="n">
        <v>271</v>
      </c>
      <c r="B275" s="4" t="inlineStr">
        <is>
          <t>ORD-20260152</t>
        </is>
      </c>
      <c r="C275" s="4" t="inlineStr">
        <is>
          <t>2026-10-04</t>
        </is>
      </c>
      <c r="D275" s="4" t="inlineStr">
        <is>
          <t>CUST-1032</t>
        </is>
      </c>
      <c r="E275" s="5" t="inlineStr">
        <is>
          <t>國泰聯合事務所</t>
        </is>
      </c>
      <c r="F275" s="4" t="inlineStr">
        <is>
          <t>主食</t>
        </is>
      </c>
      <c r="G275" s="4" t="inlineStr">
        <is>
          <t>STA-06</t>
        </is>
      </c>
      <c r="H275" s="5" t="inlineStr">
        <is>
          <t>麻油雞煨飯</t>
        </is>
      </c>
      <c r="I275" s="6" t="n">
        <v>1</v>
      </c>
      <c r="J275" s="7" t="n">
        <v>180</v>
      </c>
      <c r="K275" s="7">
        <f>I275*J275</f>
        <v/>
      </c>
    </row>
    <row r="276">
      <c r="A276" s="8" t="n">
        <v>272</v>
      </c>
      <c r="B276" s="8" t="inlineStr">
        <is>
          <t>ORD-20260224</t>
        </is>
      </c>
      <c r="C276" s="8" t="inlineStr">
        <is>
          <t>2026-10-04</t>
        </is>
      </c>
      <c r="D276" s="8" t="inlineStr">
        <is>
          <t>CUST-1025</t>
        </is>
      </c>
      <c r="E276" s="9" t="inlineStr">
        <is>
          <t>葉宜君</t>
        </is>
      </c>
      <c r="F276" s="8" t="inlineStr">
        <is>
          <t>蔬菜</t>
        </is>
      </c>
      <c r="G276" s="8" t="inlineStr">
        <is>
          <t>VEG-07</t>
        </is>
      </c>
      <c r="H276" s="9" t="inlineStr">
        <is>
          <t>開陽白菜滷</t>
        </is>
      </c>
      <c r="I276" s="10" t="n">
        <v>5</v>
      </c>
      <c r="J276" s="11" t="n">
        <v>130</v>
      </c>
      <c r="K276" s="11">
        <f>I276*J276</f>
        <v/>
      </c>
    </row>
    <row r="277">
      <c r="A277" s="4" t="n">
        <v>273</v>
      </c>
      <c r="B277" s="4" t="inlineStr">
        <is>
          <t>ORD-20260253</t>
        </is>
      </c>
      <c r="C277" s="4" t="inlineStr">
        <is>
          <t>2026-10-04</t>
        </is>
      </c>
      <c r="D277" s="4" t="inlineStr">
        <is>
          <t>CUST-1024</t>
        </is>
      </c>
      <c r="E277" s="5" t="inlineStr">
        <is>
          <t>高銘賢</t>
        </is>
      </c>
      <c r="F277" s="4" t="inlineStr">
        <is>
          <t>主食</t>
        </is>
      </c>
      <c r="G277" s="4" t="inlineStr">
        <is>
          <t>STA-05</t>
        </is>
      </c>
      <c r="H277" s="5" t="inlineStr">
        <is>
          <t>招牌古早味滷肉飯(大)</t>
        </is>
      </c>
      <c r="I277" s="6" t="n">
        <v>6</v>
      </c>
      <c r="J277" s="7" t="n">
        <v>80</v>
      </c>
      <c r="K277" s="7">
        <f>I277*J277</f>
        <v/>
      </c>
    </row>
    <row r="278">
      <c r="A278" s="8" t="n">
        <v>274</v>
      </c>
      <c r="B278" s="8" t="inlineStr">
        <is>
          <t>ORD-20260037</t>
        </is>
      </c>
      <c r="C278" s="8" t="inlineStr">
        <is>
          <t>2026-10-05</t>
        </is>
      </c>
      <c r="D278" s="8" t="inlineStr">
        <is>
          <t>CUST-1049</t>
        </is>
      </c>
      <c r="E278" s="9" t="inlineStr">
        <is>
          <t>蕭雅涵</t>
        </is>
      </c>
      <c r="F278" s="8" t="inlineStr">
        <is>
          <t>海鮮</t>
        </is>
      </c>
      <c r="G278" s="8" t="inlineStr">
        <is>
          <t>SEA-03</t>
        </is>
      </c>
      <c r="H278" s="9" t="inlineStr">
        <is>
          <t>塔香炒蛤蜊</t>
        </is>
      </c>
      <c r="I278" s="10" t="n">
        <v>2</v>
      </c>
      <c r="J278" s="11" t="n">
        <v>190</v>
      </c>
      <c r="K278" s="11">
        <f>I278*J278</f>
        <v/>
      </c>
    </row>
    <row r="279">
      <c r="A279" s="4" t="n">
        <v>275</v>
      </c>
      <c r="B279" s="4" t="inlineStr">
        <is>
          <t>ORD-20260048</t>
        </is>
      </c>
      <c r="C279" s="4" t="inlineStr">
        <is>
          <t>2026-10-05</t>
        </is>
      </c>
      <c r="D279" s="4" t="inlineStr">
        <is>
          <t>CUST-1050</t>
        </is>
      </c>
      <c r="E279" s="5" t="inlineStr">
        <is>
          <t>范明達</t>
        </is>
      </c>
      <c r="F279" s="4" t="inlineStr">
        <is>
          <t>肉品</t>
        </is>
      </c>
      <c r="G279" s="4" t="inlineStr">
        <is>
          <t>MEA-02</t>
        </is>
      </c>
      <c r="H279" s="5" t="inlineStr">
        <is>
          <t>阿嬤紅燒肉</t>
        </is>
      </c>
      <c r="I279" s="6" t="n">
        <v>1</v>
      </c>
      <c r="J279" s="7" t="n">
        <v>220</v>
      </c>
      <c r="K279" s="7">
        <f>I279*J279</f>
        <v/>
      </c>
    </row>
    <row r="280">
      <c r="A280" s="8" t="n">
        <v>276</v>
      </c>
      <c r="B280" s="8" t="inlineStr">
        <is>
          <t>ORD-20260051</t>
        </is>
      </c>
      <c r="C280" s="8" t="inlineStr">
        <is>
          <t>2026-10-05</t>
        </is>
      </c>
      <c r="D280" s="8" t="inlineStr">
        <is>
          <t>CUST-1049</t>
        </is>
      </c>
      <c r="E280" s="9" t="inlineStr">
        <is>
          <t>蕭雅涵</t>
        </is>
      </c>
      <c r="F280" s="8" t="inlineStr">
        <is>
          <t>飲品</t>
        </is>
      </c>
      <c r="G280" s="8" t="inlineStr">
        <is>
          <t>DRK-06</t>
        </is>
      </c>
      <c r="H280" s="9" t="inlineStr">
        <is>
          <t>古早味紅茶豆漿</t>
        </is>
      </c>
      <c r="I280" s="10" t="n">
        <v>1</v>
      </c>
      <c r="J280" s="11" t="n">
        <v>80</v>
      </c>
      <c r="K280" s="11">
        <f>I280*J280</f>
        <v/>
      </c>
    </row>
    <row r="281">
      <c r="A281" s="4" t="n">
        <v>277</v>
      </c>
      <c r="B281" s="4" t="inlineStr">
        <is>
          <t>ORD-20260060</t>
        </is>
      </c>
      <c r="C281" s="4" t="inlineStr">
        <is>
          <t>2026-10-05</t>
        </is>
      </c>
      <c r="D281" s="4" t="inlineStr">
        <is>
          <t>CUST-1009</t>
        </is>
      </c>
      <c r="E281" s="5" t="inlineStr">
        <is>
          <t>蔡佩君</t>
        </is>
      </c>
      <c r="F281" s="4" t="inlineStr">
        <is>
          <t>飲品</t>
        </is>
      </c>
      <c r="G281" s="4" t="inlineStr">
        <is>
          <t>DRK-06</t>
        </is>
      </c>
      <c r="H281" s="5" t="inlineStr">
        <is>
          <t>古早味紅茶豆漿</t>
        </is>
      </c>
      <c r="I281" s="6" t="n">
        <v>6</v>
      </c>
      <c r="J281" s="7" t="n">
        <v>80</v>
      </c>
      <c r="K281" s="7">
        <f>I281*J281</f>
        <v/>
      </c>
    </row>
    <row r="282">
      <c r="A282" s="8" t="n">
        <v>278</v>
      </c>
      <c r="B282" s="8" t="inlineStr">
        <is>
          <t>ORD-20260067</t>
        </is>
      </c>
      <c r="C282" s="8" t="inlineStr">
        <is>
          <t>2026-10-05</t>
        </is>
      </c>
      <c r="D282" s="8" t="inlineStr">
        <is>
          <t>CUST-1029</t>
        </is>
      </c>
      <c r="E282" s="9" t="inlineStr">
        <is>
          <t>莊佩珊</t>
        </is>
      </c>
      <c r="F282" s="8" t="inlineStr">
        <is>
          <t>肉品</t>
        </is>
      </c>
      <c r="G282" s="8" t="inlineStr">
        <is>
          <t>MEA-02</t>
        </is>
      </c>
      <c r="H282" s="9" t="inlineStr">
        <is>
          <t>阿嬤紅燒肉</t>
        </is>
      </c>
      <c r="I282" s="10" t="n">
        <v>4</v>
      </c>
      <c r="J282" s="11" t="n">
        <v>220</v>
      </c>
      <c r="K282" s="11">
        <f>I282*J282</f>
        <v/>
      </c>
    </row>
    <row r="283">
      <c r="A283" s="4" t="n">
        <v>279</v>
      </c>
      <c r="B283" s="4" t="inlineStr">
        <is>
          <t>ORD-20260155</t>
        </is>
      </c>
      <c r="C283" s="4" t="inlineStr">
        <is>
          <t>2026-10-05</t>
        </is>
      </c>
      <c r="D283" s="4" t="inlineStr">
        <is>
          <t>CUST-1006</t>
        </is>
      </c>
      <c r="E283" s="5" t="inlineStr">
        <is>
          <t>王俊傑</t>
        </is>
      </c>
      <c r="F283" s="4" t="inlineStr">
        <is>
          <t>肉品</t>
        </is>
      </c>
      <c r="G283" s="4" t="inlineStr">
        <is>
          <t>MEA-02</t>
        </is>
      </c>
      <c r="H283" s="5" t="inlineStr">
        <is>
          <t>阿嬤紅燒肉</t>
        </is>
      </c>
      <c r="I283" s="6" t="n">
        <v>1</v>
      </c>
      <c r="J283" s="7" t="n">
        <v>220</v>
      </c>
      <c r="K283" s="7">
        <f>I283*J283</f>
        <v/>
      </c>
    </row>
    <row r="284">
      <c r="A284" s="8" t="n">
        <v>280</v>
      </c>
      <c r="B284" s="8" t="inlineStr">
        <is>
          <t>ORD-20260282</t>
        </is>
      </c>
      <c r="C284" s="8" t="inlineStr">
        <is>
          <t>2026-10-05</t>
        </is>
      </c>
      <c r="D284" s="8" t="inlineStr">
        <is>
          <t>CUST-1003</t>
        </is>
      </c>
      <c r="E284" s="9" t="inlineStr">
        <is>
          <t>張淑芬</t>
        </is>
      </c>
      <c r="F284" s="8" t="inlineStr">
        <is>
          <t>主食</t>
        </is>
      </c>
      <c r="G284" s="8" t="inlineStr">
        <is>
          <t>STA-05</t>
        </is>
      </c>
      <c r="H284" s="9" t="inlineStr">
        <is>
          <t>招牌古早味滷肉飯(大)</t>
        </is>
      </c>
      <c r="I284" s="10" t="n">
        <v>1</v>
      </c>
      <c r="J284" s="11" t="n">
        <v>80</v>
      </c>
      <c r="K284" s="11">
        <f>I284*J284</f>
        <v/>
      </c>
    </row>
    <row r="285">
      <c r="A285" s="4" t="n">
        <v>281</v>
      </c>
      <c r="B285" s="4" t="inlineStr">
        <is>
          <t>ORD-20260310</t>
        </is>
      </c>
      <c r="C285" s="4" t="inlineStr">
        <is>
          <t>2026-10-05</t>
        </is>
      </c>
      <c r="D285" s="4" t="inlineStr">
        <is>
          <t>CUST-1024</t>
        </is>
      </c>
      <c r="E285" s="5" t="inlineStr">
        <is>
          <t>高銘賢</t>
        </is>
      </c>
      <c r="F285" s="4" t="inlineStr">
        <is>
          <t>湯品</t>
        </is>
      </c>
      <c r="G285" s="4" t="inlineStr">
        <is>
          <t>SOU-05</t>
        </is>
      </c>
      <c r="H285" s="5" t="inlineStr">
        <is>
          <t>古早味西魯肉湯</t>
        </is>
      </c>
      <c r="I285" s="6" t="n">
        <v>8</v>
      </c>
      <c r="J285" s="7" t="n">
        <v>190</v>
      </c>
      <c r="K285" s="7">
        <f>I285*J285</f>
        <v/>
      </c>
    </row>
    <row r="286">
      <c r="A286" s="8" t="n">
        <v>282</v>
      </c>
      <c r="B286" s="8" t="inlineStr">
        <is>
          <t>ORD-20260094</t>
        </is>
      </c>
      <c r="C286" s="8" t="inlineStr">
        <is>
          <t>2026-10-06</t>
        </is>
      </c>
      <c r="D286" s="8" t="inlineStr">
        <is>
          <t>CUST-1020</t>
        </is>
      </c>
      <c r="E286" s="9" t="inlineStr">
        <is>
          <t>周玉蓮</t>
        </is>
      </c>
      <c r="F286" s="8" t="inlineStr">
        <is>
          <t>飲品</t>
        </is>
      </c>
      <c r="G286" s="8" t="inlineStr">
        <is>
          <t>DRK-02</t>
        </is>
      </c>
      <c r="H286" s="9" t="inlineStr">
        <is>
          <t>黑糖珍珠鮮奶</t>
        </is>
      </c>
      <c r="I286" s="10" t="n">
        <v>1</v>
      </c>
      <c r="J286" s="11" t="n">
        <v>90</v>
      </c>
      <c r="K286" s="11">
        <f>I286*J286</f>
        <v/>
      </c>
    </row>
    <row r="287">
      <c r="A287" s="4" t="n">
        <v>283</v>
      </c>
      <c r="B287" s="4" t="inlineStr">
        <is>
          <t>ORD-20260096</t>
        </is>
      </c>
      <c r="C287" s="4" t="inlineStr">
        <is>
          <t>2026-10-06</t>
        </is>
      </c>
      <c r="D287" s="4" t="inlineStr">
        <is>
          <t>CUST-1010</t>
        </is>
      </c>
      <c r="E287" s="5" t="inlineStr">
        <is>
          <t>楊宗翰</t>
        </is>
      </c>
      <c r="F287" s="4" t="inlineStr">
        <is>
          <t>海鮮</t>
        </is>
      </c>
      <c r="G287" s="4" t="inlineStr">
        <is>
          <t>SEA-03</t>
        </is>
      </c>
      <c r="H287" s="5" t="inlineStr">
        <is>
          <t>塔香炒蛤蜊</t>
        </is>
      </c>
      <c r="I287" s="6" t="n">
        <v>2</v>
      </c>
      <c r="J287" s="7" t="n">
        <v>190</v>
      </c>
      <c r="K287" s="7">
        <f>I287*J287</f>
        <v/>
      </c>
    </row>
    <row r="288">
      <c r="A288" s="8" t="n">
        <v>284</v>
      </c>
      <c r="B288" s="8" t="inlineStr">
        <is>
          <t>ORD-20260131</t>
        </is>
      </c>
      <c r="C288" s="8" t="inlineStr">
        <is>
          <t>2026-10-06</t>
        </is>
      </c>
      <c r="D288" s="8" t="inlineStr">
        <is>
          <t>CUST-1009</t>
        </is>
      </c>
      <c r="E288" s="9" t="inlineStr">
        <is>
          <t>蔡佩君</t>
        </is>
      </c>
      <c r="F288" s="8" t="inlineStr">
        <is>
          <t>肉品</t>
        </is>
      </c>
      <c r="G288" s="8" t="inlineStr">
        <is>
          <t>MEA-06</t>
        </is>
      </c>
      <c r="H288" s="9" t="inlineStr">
        <is>
          <t>香酥炸排骨</t>
        </is>
      </c>
      <c r="I288" s="10" t="n">
        <v>4</v>
      </c>
      <c r="J288" s="11" t="n">
        <v>160</v>
      </c>
      <c r="K288" s="11">
        <f>I288*J288</f>
        <v/>
      </c>
    </row>
    <row r="289">
      <c r="A289" s="4" t="n">
        <v>285</v>
      </c>
      <c r="B289" s="4" t="inlineStr">
        <is>
          <t>ORD-20260148</t>
        </is>
      </c>
      <c r="C289" s="4" t="inlineStr">
        <is>
          <t>2026-10-06</t>
        </is>
      </c>
      <c r="D289" s="4" t="inlineStr">
        <is>
          <t>CUST-1039</t>
        </is>
      </c>
      <c r="E289" s="5" t="inlineStr">
        <is>
          <t>華碩雲端部門</t>
        </is>
      </c>
      <c r="F289" s="4" t="inlineStr">
        <is>
          <t>海鮮</t>
        </is>
      </c>
      <c r="G289" s="4" t="inlineStr">
        <is>
          <t>SEA-06</t>
        </is>
      </c>
      <c r="H289" s="5" t="inlineStr">
        <is>
          <t>清蒸金目鱸魚片</t>
        </is>
      </c>
      <c r="I289" s="6" t="n">
        <v>5</v>
      </c>
      <c r="J289" s="7" t="n">
        <v>240</v>
      </c>
      <c r="K289" s="7">
        <f>I289*J289</f>
        <v/>
      </c>
    </row>
    <row r="290">
      <c r="A290" s="8" t="n">
        <v>286</v>
      </c>
      <c r="B290" s="8" t="inlineStr">
        <is>
          <t>ORD-20260150</t>
        </is>
      </c>
      <c r="C290" s="8" t="inlineStr">
        <is>
          <t>2026-10-06</t>
        </is>
      </c>
      <c r="D290" s="8" t="inlineStr">
        <is>
          <t>CUST-1029</t>
        </is>
      </c>
      <c r="E290" s="9" t="inlineStr">
        <is>
          <t>莊佩珊</t>
        </is>
      </c>
      <c r="F290" s="8" t="inlineStr">
        <is>
          <t>肉品</t>
        </is>
      </c>
      <c r="G290" s="8" t="inlineStr">
        <is>
          <t>MEA-04</t>
        </is>
      </c>
      <c r="H290" s="9" t="inlineStr">
        <is>
          <t>醬燒蔥爆牛肉</t>
        </is>
      </c>
      <c r="I290" s="10" t="n">
        <v>6</v>
      </c>
      <c r="J290" s="11" t="n">
        <v>230</v>
      </c>
      <c r="K290" s="11">
        <f>I290*J290</f>
        <v/>
      </c>
    </row>
    <row r="291">
      <c r="A291" s="4" t="n">
        <v>287</v>
      </c>
      <c r="B291" s="4" t="inlineStr">
        <is>
          <t>ORD-20260198</t>
        </is>
      </c>
      <c r="C291" s="4" t="inlineStr">
        <is>
          <t>2026-10-06</t>
        </is>
      </c>
      <c r="D291" s="4" t="inlineStr">
        <is>
          <t>CUST-1001</t>
        </is>
      </c>
      <c r="E291" s="5" t="inlineStr">
        <is>
          <t>陳建宏</t>
        </is>
      </c>
      <c r="F291" s="4" t="inlineStr">
        <is>
          <t>湯品</t>
        </is>
      </c>
      <c r="G291" s="4" t="inlineStr">
        <is>
          <t>SOU-05</t>
        </is>
      </c>
      <c r="H291" s="5" t="inlineStr">
        <is>
          <t>古早味西魯肉湯</t>
        </is>
      </c>
      <c r="I291" s="6" t="n">
        <v>1</v>
      </c>
      <c r="J291" s="7" t="n">
        <v>190</v>
      </c>
      <c r="K291" s="7">
        <f>I291*J291</f>
        <v/>
      </c>
    </row>
    <row r="292">
      <c r="A292" s="8" t="n">
        <v>288</v>
      </c>
      <c r="B292" s="8" t="inlineStr">
        <is>
          <t>ORD-20260215</t>
        </is>
      </c>
      <c r="C292" s="8" t="inlineStr">
        <is>
          <t>2026-10-06</t>
        </is>
      </c>
      <c r="D292" s="8" t="inlineStr">
        <is>
          <t>CUST-1019</t>
        </is>
      </c>
      <c r="E292" s="9" t="inlineStr">
        <is>
          <t>賴彥宏</t>
        </is>
      </c>
      <c r="F292" s="8" t="inlineStr">
        <is>
          <t>飲品</t>
        </is>
      </c>
      <c r="G292" s="8" t="inlineStr">
        <is>
          <t>DRK-04</t>
        </is>
      </c>
      <c r="H292" s="9" t="inlineStr">
        <is>
          <t>特調酸梅湯</t>
        </is>
      </c>
      <c r="I292" s="10" t="n">
        <v>1</v>
      </c>
      <c r="J292" s="11" t="n">
        <v>80</v>
      </c>
      <c r="K292" s="11">
        <f>I292*J292</f>
        <v/>
      </c>
    </row>
    <row r="293">
      <c r="A293" s="4" t="n">
        <v>289</v>
      </c>
      <c r="B293" s="4" t="inlineStr">
        <is>
          <t>ORD-20260229</t>
        </is>
      </c>
      <c r="C293" s="4" t="inlineStr">
        <is>
          <t>2026-10-06</t>
        </is>
      </c>
      <c r="D293" s="4" t="inlineStr">
        <is>
          <t>CUST-1005</t>
        </is>
      </c>
      <c r="E293" s="5" t="inlineStr">
        <is>
          <t>李雅婷</t>
        </is>
      </c>
      <c r="F293" s="4" t="inlineStr">
        <is>
          <t>肉品</t>
        </is>
      </c>
      <c r="G293" s="4" t="inlineStr">
        <is>
          <t>MEA-04</t>
        </is>
      </c>
      <c r="H293" s="5" t="inlineStr">
        <is>
          <t>醬燒蔥爆牛肉</t>
        </is>
      </c>
      <c r="I293" s="6" t="n">
        <v>1</v>
      </c>
      <c r="J293" s="7" t="n">
        <v>230</v>
      </c>
      <c r="K293" s="7">
        <f>I293*J293</f>
        <v/>
      </c>
    </row>
    <row r="294">
      <c r="A294" s="8" t="n">
        <v>290</v>
      </c>
      <c r="B294" s="8" t="inlineStr">
        <is>
          <t>ORD-20260259</t>
        </is>
      </c>
      <c r="C294" s="8" t="inlineStr">
        <is>
          <t>2026-10-06</t>
        </is>
      </c>
      <c r="D294" s="8" t="inlineStr">
        <is>
          <t>CUST-1027</t>
        </is>
      </c>
      <c r="E294" s="9" t="inlineStr">
        <is>
          <t>羅雅惠</t>
        </is>
      </c>
      <c r="F294" s="8" t="inlineStr">
        <is>
          <t>冷盤</t>
        </is>
      </c>
      <c r="G294" s="8" t="inlineStr">
        <is>
          <t>APP-06</t>
        </is>
      </c>
      <c r="H294" s="9" t="inlineStr">
        <is>
          <t>涼拌海蜇皮</t>
        </is>
      </c>
      <c r="I294" s="10" t="n">
        <v>1</v>
      </c>
      <c r="J294" s="11" t="n">
        <v>180</v>
      </c>
      <c r="K294" s="11">
        <f>I294*J294</f>
        <v/>
      </c>
    </row>
    <row r="295">
      <c r="A295" s="4" t="n">
        <v>291</v>
      </c>
      <c r="B295" s="4" t="inlineStr">
        <is>
          <t>ORD-20260015</t>
        </is>
      </c>
      <c r="C295" s="4" t="inlineStr">
        <is>
          <t>2026-10-07</t>
        </is>
      </c>
      <c r="D295" s="4" t="inlineStr">
        <is>
          <t>CUST-1013</t>
        </is>
      </c>
      <c r="E295" s="5" t="inlineStr">
        <is>
          <t>謝佳蓉</t>
        </is>
      </c>
      <c r="F295" s="4" t="inlineStr">
        <is>
          <t>飲品</t>
        </is>
      </c>
      <c r="G295" s="4" t="inlineStr">
        <is>
          <t>DRK-05</t>
        </is>
      </c>
      <c r="H295" s="5" t="inlineStr">
        <is>
          <t>經典金桔檸檬汁</t>
        </is>
      </c>
      <c r="I295" s="6" t="n">
        <v>1</v>
      </c>
      <c r="J295" s="7" t="n">
        <v>85</v>
      </c>
      <c r="K295" s="7">
        <f>I295*J295</f>
        <v/>
      </c>
    </row>
    <row r="296">
      <c r="A296" s="8" t="n">
        <v>292</v>
      </c>
      <c r="B296" s="8" t="inlineStr">
        <is>
          <t>ORD-20260178</t>
        </is>
      </c>
      <c r="C296" s="8" t="inlineStr">
        <is>
          <t>2026-10-07</t>
        </is>
      </c>
      <c r="D296" s="8" t="inlineStr">
        <is>
          <t>CUST-1014</t>
        </is>
      </c>
      <c r="E296" s="9" t="inlineStr">
        <is>
          <t>洪志偉</t>
        </is>
      </c>
      <c r="F296" s="8" t="inlineStr">
        <is>
          <t>湯品</t>
        </is>
      </c>
      <c r="G296" s="8" t="inlineStr">
        <is>
          <t>SOU-01</t>
        </is>
      </c>
      <c r="H296" s="9" t="inlineStr">
        <is>
          <t>剝皮辣椒雞湯</t>
        </is>
      </c>
      <c r="I296" s="10" t="n">
        <v>2</v>
      </c>
      <c r="J296" s="11" t="n">
        <v>220</v>
      </c>
      <c r="K296" s="11">
        <f>I296*J296</f>
        <v/>
      </c>
    </row>
    <row r="297">
      <c r="A297" s="4" t="n">
        <v>293</v>
      </c>
      <c r="B297" s="4" t="inlineStr">
        <is>
          <t>ORD-20260185</t>
        </is>
      </c>
      <c r="C297" s="4" t="inlineStr">
        <is>
          <t>2026-10-07</t>
        </is>
      </c>
      <c r="D297" s="4" t="inlineStr">
        <is>
          <t>CUST-1003</t>
        </is>
      </c>
      <c r="E297" s="5" t="inlineStr">
        <is>
          <t>張淑芬</t>
        </is>
      </c>
      <c r="F297" s="4" t="inlineStr">
        <is>
          <t>蔬菜</t>
        </is>
      </c>
      <c r="G297" s="4" t="inlineStr">
        <is>
          <t>VEG-01</t>
        </is>
      </c>
      <c r="H297" s="5" t="inlineStr">
        <is>
          <t>清炒高麗菜</t>
        </is>
      </c>
      <c r="I297" s="6" t="n">
        <v>10</v>
      </c>
      <c r="J297" s="7" t="n">
        <v>110</v>
      </c>
      <c r="K297" s="7">
        <f>I297*J297</f>
        <v/>
      </c>
    </row>
    <row r="298">
      <c r="A298" s="8" t="n">
        <v>294</v>
      </c>
      <c r="B298" s="8" t="inlineStr">
        <is>
          <t>ORD-20260226</t>
        </is>
      </c>
      <c r="C298" s="8" t="inlineStr">
        <is>
          <t>2026-10-07</t>
        </is>
      </c>
      <c r="D298" s="8" t="inlineStr">
        <is>
          <t>CUST-1040</t>
        </is>
      </c>
      <c r="E298" s="9" t="inlineStr">
        <is>
          <t>微星多媒體室</t>
        </is>
      </c>
      <c r="F298" s="8" t="inlineStr">
        <is>
          <t>冷盤</t>
        </is>
      </c>
      <c r="G298" s="8" t="inlineStr">
        <is>
          <t>APP-04</t>
        </is>
      </c>
      <c r="H298" s="9" t="inlineStr">
        <is>
          <t>台式涼拌小黃瓜</t>
        </is>
      </c>
      <c r="I298" s="10" t="n">
        <v>1</v>
      </c>
      <c r="J298" s="11" t="n">
        <v>80</v>
      </c>
      <c r="K298" s="11">
        <f>I298*J298</f>
        <v/>
      </c>
    </row>
    <row r="299">
      <c r="A299" s="4" t="n">
        <v>295</v>
      </c>
      <c r="B299" s="4" t="inlineStr">
        <is>
          <t>ORD-20260290</t>
        </is>
      </c>
      <c r="C299" s="4" t="inlineStr">
        <is>
          <t>2026-10-07</t>
        </is>
      </c>
      <c r="D299" s="4" t="inlineStr">
        <is>
          <t>CUST-1044</t>
        </is>
      </c>
      <c r="E299" s="5" t="inlineStr">
        <is>
          <t>柯宗憲</t>
        </is>
      </c>
      <c r="F299" s="4" t="inlineStr">
        <is>
          <t>肉品</t>
        </is>
      </c>
      <c r="G299" s="4" t="inlineStr">
        <is>
          <t>MEA-05</t>
        </is>
      </c>
      <c r="H299" s="5" t="inlineStr">
        <is>
          <t>糖醋里肌肉</t>
        </is>
      </c>
      <c r="I299" s="6" t="n">
        <v>1</v>
      </c>
      <c r="J299" s="7" t="n">
        <v>200</v>
      </c>
      <c r="K299" s="7">
        <f>I299*J299</f>
        <v/>
      </c>
    </row>
    <row r="300">
      <c r="A300" s="8" t="n">
        <v>296</v>
      </c>
      <c r="B300" s="8" t="inlineStr">
        <is>
          <t>ORD-20260031</t>
        </is>
      </c>
      <c r="C300" s="8" t="inlineStr">
        <is>
          <t>2026-10-08</t>
        </is>
      </c>
      <c r="D300" s="8" t="inlineStr">
        <is>
          <t>CUST-1026</t>
        </is>
      </c>
      <c r="E300" s="9" t="inlineStr">
        <is>
          <t>何孟勳</t>
        </is>
      </c>
      <c r="F300" s="8" t="inlineStr">
        <is>
          <t>蔬菜</t>
        </is>
      </c>
      <c r="G300" s="8" t="inlineStr">
        <is>
          <t>VEG-02</t>
        </is>
      </c>
      <c r="H300" s="9" t="inlineStr">
        <is>
          <t>櫻花蝦炒高麗菜</t>
        </is>
      </c>
      <c r="I300" s="10" t="n">
        <v>1</v>
      </c>
      <c r="J300" s="11" t="n">
        <v>150</v>
      </c>
      <c r="K300" s="11">
        <f>I300*J300</f>
        <v/>
      </c>
    </row>
    <row r="301">
      <c r="A301" s="4" t="n">
        <v>297</v>
      </c>
      <c r="B301" s="4" t="inlineStr">
        <is>
          <t>ORD-20260056</t>
        </is>
      </c>
      <c r="C301" s="4" t="inlineStr">
        <is>
          <t>2026-10-08</t>
        </is>
      </c>
      <c r="D301" s="4" t="inlineStr">
        <is>
          <t>CUST-1015</t>
        </is>
      </c>
      <c r="E301" s="5" t="inlineStr">
        <is>
          <t>郭宏達</t>
        </is>
      </c>
      <c r="F301" s="4" t="inlineStr">
        <is>
          <t>冷盤</t>
        </is>
      </c>
      <c r="G301" s="4" t="inlineStr">
        <is>
          <t>APP-01</t>
        </is>
      </c>
      <c r="H301" s="5" t="inlineStr">
        <is>
          <t>台式蒜泥白肉</t>
        </is>
      </c>
      <c r="I301" s="6" t="n">
        <v>1</v>
      </c>
      <c r="J301" s="7" t="n">
        <v>160</v>
      </c>
      <c r="K301" s="7">
        <f>I301*J301</f>
        <v/>
      </c>
    </row>
    <row r="302">
      <c r="A302" s="8" t="n">
        <v>298</v>
      </c>
      <c r="B302" s="8" t="inlineStr">
        <is>
          <t>ORD-20260083</t>
        </is>
      </c>
      <c r="C302" s="8" t="inlineStr">
        <is>
          <t>2026-10-08</t>
        </is>
      </c>
      <c r="D302" s="8" t="inlineStr">
        <is>
          <t>CUST-1039</t>
        </is>
      </c>
      <c r="E302" s="9" t="inlineStr">
        <is>
          <t>華碩雲端部門</t>
        </is>
      </c>
      <c r="F302" s="8" t="inlineStr">
        <is>
          <t>冷盤</t>
        </is>
      </c>
      <c r="G302" s="8" t="inlineStr">
        <is>
          <t>APP-03</t>
        </is>
      </c>
      <c r="H302" s="9" t="inlineStr">
        <is>
          <t>紹興醉雞卷</t>
        </is>
      </c>
      <c r="I302" s="10" t="n">
        <v>1</v>
      </c>
      <c r="J302" s="11" t="n">
        <v>210</v>
      </c>
      <c r="K302" s="11">
        <f>I302*J302</f>
        <v/>
      </c>
    </row>
    <row r="303">
      <c r="A303" s="4" t="n">
        <v>299</v>
      </c>
      <c r="B303" s="4" t="inlineStr">
        <is>
          <t>ORD-20260121</t>
        </is>
      </c>
      <c r="C303" s="4" t="inlineStr">
        <is>
          <t>2026-10-08</t>
        </is>
      </c>
      <c r="D303" s="4" t="inlineStr">
        <is>
          <t>CUST-1017</t>
        </is>
      </c>
      <c r="E303" s="5" t="inlineStr">
        <is>
          <t>廖健民</t>
        </is>
      </c>
      <c r="F303" s="4" t="inlineStr">
        <is>
          <t>冷盤</t>
        </is>
      </c>
      <c r="G303" s="4" t="inlineStr">
        <is>
          <t>APP-03</t>
        </is>
      </c>
      <c r="H303" s="5" t="inlineStr">
        <is>
          <t>紹興醉雞卷</t>
        </is>
      </c>
      <c r="I303" s="6" t="n">
        <v>1</v>
      </c>
      <c r="J303" s="7" t="n">
        <v>210</v>
      </c>
      <c r="K303" s="7">
        <f>I303*J303</f>
        <v/>
      </c>
    </row>
    <row r="304">
      <c r="A304" s="8" t="n">
        <v>300</v>
      </c>
      <c r="B304" s="8" t="inlineStr">
        <is>
          <t>ORD-20260160</t>
        </is>
      </c>
      <c r="C304" s="8" t="inlineStr">
        <is>
          <t>2026-10-08</t>
        </is>
      </c>
      <c r="D304" s="8" t="inlineStr">
        <is>
          <t>CUST-1045</t>
        </is>
      </c>
      <c r="E304" s="9" t="inlineStr">
        <is>
          <t>翁淑真</t>
        </is>
      </c>
      <c r="F304" s="8" t="inlineStr">
        <is>
          <t>冷盤</t>
        </is>
      </c>
      <c r="G304" s="8" t="inlineStr">
        <is>
          <t>APP-02</t>
        </is>
      </c>
      <c r="H304" s="9" t="inlineStr">
        <is>
          <t>五味透抽</t>
        </is>
      </c>
      <c r="I304" s="10" t="n">
        <v>3</v>
      </c>
      <c r="J304" s="11" t="n">
        <v>220</v>
      </c>
      <c r="K304" s="11">
        <f>I304*J304</f>
        <v/>
      </c>
    </row>
    <row r="305">
      <c r="A305" s="4" t="n">
        <v>301</v>
      </c>
      <c r="B305" s="4" t="inlineStr">
        <is>
          <t>ORD-20260183</t>
        </is>
      </c>
      <c r="C305" s="4" t="inlineStr">
        <is>
          <t>2026-10-08</t>
        </is>
      </c>
      <c r="D305" s="4" t="inlineStr">
        <is>
          <t>CUST-1045</t>
        </is>
      </c>
      <c r="E305" s="5" t="inlineStr">
        <is>
          <t>翁淑真</t>
        </is>
      </c>
      <c r="F305" s="4" t="inlineStr">
        <is>
          <t>主食</t>
        </is>
      </c>
      <c r="G305" s="4" t="inlineStr">
        <is>
          <t>STA-06</t>
        </is>
      </c>
      <c r="H305" s="5" t="inlineStr">
        <is>
          <t>麻油雞煨飯</t>
        </is>
      </c>
      <c r="I305" s="6" t="n">
        <v>1</v>
      </c>
      <c r="J305" s="7" t="n">
        <v>180</v>
      </c>
      <c r="K305" s="7">
        <f>I305*J305</f>
        <v/>
      </c>
    </row>
    <row r="306">
      <c r="A306" s="8" t="n">
        <v>302</v>
      </c>
      <c r="B306" s="8" t="inlineStr">
        <is>
          <t>ORD-20260275</t>
        </is>
      </c>
      <c r="C306" s="8" t="inlineStr">
        <is>
          <t>2026-10-08</t>
        </is>
      </c>
      <c r="D306" s="8" t="inlineStr">
        <is>
          <t>CUST-1022</t>
        </is>
      </c>
      <c r="E306" s="9" t="inlineStr">
        <is>
          <t>孫宇軒</t>
        </is>
      </c>
      <c r="F306" s="8" t="inlineStr">
        <is>
          <t>冷盤</t>
        </is>
      </c>
      <c r="G306" s="8" t="inlineStr">
        <is>
          <t>APP-07</t>
        </is>
      </c>
      <c r="H306" s="9" t="inlineStr">
        <is>
          <t>煙燻粉肝</t>
        </is>
      </c>
      <c r="I306" s="10" t="n">
        <v>5</v>
      </c>
      <c r="J306" s="11" t="n">
        <v>120</v>
      </c>
      <c r="K306" s="11">
        <f>I306*J306</f>
        <v/>
      </c>
    </row>
    <row r="307">
      <c r="A307" s="4" t="n">
        <v>303</v>
      </c>
      <c r="B307" s="4" t="inlineStr">
        <is>
          <t>ORD-20260293</t>
        </is>
      </c>
      <c r="C307" s="4" t="inlineStr">
        <is>
          <t>2026-10-08</t>
        </is>
      </c>
      <c r="D307" s="4" t="inlineStr">
        <is>
          <t>CUST-1010</t>
        </is>
      </c>
      <c r="E307" s="5" t="inlineStr">
        <is>
          <t>楊宗翰</t>
        </is>
      </c>
      <c r="F307" s="4" t="inlineStr">
        <is>
          <t>肉品</t>
        </is>
      </c>
      <c r="G307" s="4" t="inlineStr">
        <is>
          <t>MEA-08</t>
        </is>
      </c>
      <c r="H307" s="5" t="inlineStr">
        <is>
          <t>麻油松阪豬</t>
        </is>
      </c>
      <c r="I307" s="6" t="n">
        <v>5</v>
      </c>
      <c r="J307" s="7" t="n">
        <v>250</v>
      </c>
      <c r="K307" s="7">
        <f>I307*J307</f>
        <v/>
      </c>
    </row>
    <row r="308">
      <c r="A308" s="8" t="n">
        <v>304</v>
      </c>
      <c r="B308" s="8" t="inlineStr">
        <is>
          <t>ORD-20260297</t>
        </is>
      </c>
      <c r="C308" s="8" t="inlineStr">
        <is>
          <t>2026-10-08</t>
        </is>
      </c>
      <c r="D308" s="8" t="inlineStr">
        <is>
          <t>CUST-1020</t>
        </is>
      </c>
      <c r="E308" s="9" t="inlineStr">
        <is>
          <t>周玉蓮</t>
        </is>
      </c>
      <c r="F308" s="8" t="inlineStr">
        <is>
          <t>主食</t>
        </is>
      </c>
      <c r="G308" s="8" t="inlineStr">
        <is>
          <t>STA-06</t>
        </is>
      </c>
      <c r="H308" s="9" t="inlineStr">
        <is>
          <t>麻油雞煨飯</t>
        </is>
      </c>
      <c r="I308" s="10" t="n">
        <v>4</v>
      </c>
      <c r="J308" s="11" t="n">
        <v>180</v>
      </c>
      <c r="K308" s="11">
        <f>I308*J308</f>
        <v/>
      </c>
    </row>
    <row r="309">
      <c r="A309" s="4" t="n">
        <v>305</v>
      </c>
      <c r="B309" s="4" t="inlineStr">
        <is>
          <t>ORD-20260317</t>
        </is>
      </c>
      <c r="C309" s="4" t="inlineStr">
        <is>
          <t>2026-10-08</t>
        </is>
      </c>
      <c r="D309" s="4" t="inlineStr">
        <is>
          <t>CUST-1025</t>
        </is>
      </c>
      <c r="E309" s="5" t="inlineStr">
        <is>
          <t>葉宜君</t>
        </is>
      </c>
      <c r="F309" s="4" t="inlineStr">
        <is>
          <t>主食</t>
        </is>
      </c>
      <c r="G309" s="4" t="inlineStr">
        <is>
          <t>STA-06</t>
        </is>
      </c>
      <c r="H309" s="5" t="inlineStr">
        <is>
          <t>麻油雞煨飯</t>
        </is>
      </c>
      <c r="I309" s="6" t="n">
        <v>3</v>
      </c>
      <c r="J309" s="7" t="n">
        <v>180</v>
      </c>
      <c r="K309" s="7">
        <f>I309*J309</f>
        <v/>
      </c>
    </row>
    <row r="310">
      <c r="A310" s="8" t="n">
        <v>306</v>
      </c>
      <c r="B310" s="8" t="inlineStr">
        <is>
          <t>ORD-20260021</t>
        </is>
      </c>
      <c r="C310" s="8" t="inlineStr">
        <is>
          <t>2026-10-09</t>
        </is>
      </c>
      <c r="D310" s="8" t="inlineStr">
        <is>
          <t>CUST-1041</t>
        </is>
      </c>
      <c r="E310" s="9" t="inlineStr">
        <is>
          <t>彭思涵</t>
        </is>
      </c>
      <c r="F310" s="8" t="inlineStr">
        <is>
          <t>肉品</t>
        </is>
      </c>
      <c r="G310" s="8" t="inlineStr">
        <is>
          <t>MEA-04</t>
        </is>
      </c>
      <c r="H310" s="9" t="inlineStr">
        <is>
          <t>醬燒蔥爆牛肉</t>
        </is>
      </c>
      <c r="I310" s="10" t="n">
        <v>10</v>
      </c>
      <c r="J310" s="11" t="n">
        <v>230</v>
      </c>
      <c r="K310" s="11">
        <f>I310*J310</f>
        <v/>
      </c>
    </row>
    <row r="311">
      <c r="A311" s="4" t="n">
        <v>307</v>
      </c>
      <c r="B311" s="4" t="inlineStr">
        <is>
          <t>ORD-20260042</t>
        </is>
      </c>
      <c r="C311" s="4" t="inlineStr">
        <is>
          <t>2026-10-09</t>
        </is>
      </c>
      <c r="D311" s="4" t="inlineStr">
        <is>
          <t>CUST-1013</t>
        </is>
      </c>
      <c r="E311" s="5" t="inlineStr">
        <is>
          <t>謝佳蓉</t>
        </is>
      </c>
      <c r="F311" s="4" t="inlineStr">
        <is>
          <t>肉品</t>
        </is>
      </c>
      <c r="G311" s="4" t="inlineStr">
        <is>
          <t>MEA-03</t>
        </is>
      </c>
      <c r="H311" s="5" t="inlineStr">
        <is>
          <t>客家小炒</t>
        </is>
      </c>
      <c r="I311" s="6" t="n">
        <v>3</v>
      </c>
      <c r="J311" s="7" t="n">
        <v>190</v>
      </c>
      <c r="K311" s="7">
        <f>I311*J311</f>
        <v/>
      </c>
    </row>
    <row r="312">
      <c r="A312" s="8" t="n">
        <v>308</v>
      </c>
      <c r="B312" s="8" t="inlineStr">
        <is>
          <t>ORD-20260044</t>
        </is>
      </c>
      <c r="C312" s="8" t="inlineStr">
        <is>
          <t>2026-10-09</t>
        </is>
      </c>
      <c r="D312" s="8" t="inlineStr">
        <is>
          <t>CUST-1021</t>
        </is>
      </c>
      <c r="E312" s="9" t="inlineStr">
        <is>
          <t>徐世榮</t>
        </is>
      </c>
      <c r="F312" s="8" t="inlineStr">
        <is>
          <t>湯品</t>
        </is>
      </c>
      <c r="G312" s="8" t="inlineStr">
        <is>
          <t>SOU-03</t>
        </is>
      </c>
      <c r="H312" s="9" t="inlineStr">
        <is>
          <t>鮮魚味噌豆腐湯</t>
        </is>
      </c>
      <c r="I312" s="10" t="n">
        <v>1</v>
      </c>
      <c r="J312" s="11" t="n">
        <v>160</v>
      </c>
      <c r="K312" s="11">
        <f>I312*J312</f>
        <v/>
      </c>
    </row>
    <row r="313">
      <c r="A313" s="4" t="n">
        <v>309</v>
      </c>
      <c r="B313" s="4" t="inlineStr">
        <is>
          <t>ORD-20260097</t>
        </is>
      </c>
      <c r="C313" s="4" t="inlineStr">
        <is>
          <t>2026-10-09</t>
        </is>
      </c>
      <c r="D313" s="4" t="inlineStr">
        <is>
          <t>CUST-1014</t>
        </is>
      </c>
      <c r="E313" s="5" t="inlineStr">
        <is>
          <t>洪志偉</t>
        </is>
      </c>
      <c r="F313" s="4" t="inlineStr">
        <is>
          <t>飲品</t>
        </is>
      </c>
      <c r="G313" s="4" t="inlineStr">
        <is>
          <t>DRK-05</t>
        </is>
      </c>
      <c r="H313" s="5" t="inlineStr">
        <is>
          <t>經典金桔檸檬汁</t>
        </is>
      </c>
      <c r="I313" s="6" t="n">
        <v>2</v>
      </c>
      <c r="J313" s="7" t="n">
        <v>85</v>
      </c>
      <c r="K313" s="7">
        <f>I313*J313</f>
        <v/>
      </c>
    </row>
    <row r="314">
      <c r="A314" s="8" t="n">
        <v>310</v>
      </c>
      <c r="B314" s="8" t="inlineStr">
        <is>
          <t>ORD-20260122</t>
        </is>
      </c>
      <c r="C314" s="8" t="inlineStr">
        <is>
          <t>2026-10-09</t>
        </is>
      </c>
      <c r="D314" s="8" t="inlineStr">
        <is>
          <t>CUST-1028</t>
        </is>
      </c>
      <c r="E314" s="9" t="inlineStr">
        <is>
          <t>蘇志強</t>
        </is>
      </c>
      <c r="F314" s="8" t="inlineStr">
        <is>
          <t>蔬菜</t>
        </is>
      </c>
      <c r="G314" s="8" t="inlineStr">
        <is>
          <t>VEG-01</t>
        </is>
      </c>
      <c r="H314" s="9" t="inlineStr">
        <is>
          <t>清炒高麗菜</t>
        </is>
      </c>
      <c r="I314" s="10" t="n">
        <v>2</v>
      </c>
      <c r="J314" s="11" t="n">
        <v>110</v>
      </c>
      <c r="K314" s="11">
        <f>I314*J314</f>
        <v/>
      </c>
    </row>
    <row r="315">
      <c r="A315" s="4" t="n">
        <v>311</v>
      </c>
      <c r="B315" s="4" t="inlineStr">
        <is>
          <t>ORD-20260163</t>
        </is>
      </c>
      <c r="C315" s="4" t="inlineStr">
        <is>
          <t>2026-10-09</t>
        </is>
      </c>
      <c r="D315" s="4" t="inlineStr">
        <is>
          <t>CUST-1015</t>
        </is>
      </c>
      <c r="E315" s="5" t="inlineStr">
        <is>
          <t>郭宏達</t>
        </is>
      </c>
      <c r="F315" s="4" t="inlineStr">
        <is>
          <t>湯品</t>
        </is>
      </c>
      <c r="G315" s="4" t="inlineStr">
        <is>
          <t>SOU-03</t>
        </is>
      </c>
      <c r="H315" s="5" t="inlineStr">
        <is>
          <t>鮮魚味噌豆腐湯</t>
        </is>
      </c>
      <c r="I315" s="6" t="n">
        <v>1</v>
      </c>
      <c r="J315" s="7" t="n">
        <v>160</v>
      </c>
      <c r="K315" s="7">
        <f>I315*J315</f>
        <v/>
      </c>
    </row>
    <row r="316">
      <c r="A316" s="8" t="n">
        <v>312</v>
      </c>
      <c r="B316" s="8" t="inlineStr">
        <is>
          <t>ORD-20260211</t>
        </is>
      </c>
      <c r="C316" s="8" t="inlineStr">
        <is>
          <t>2026-10-09</t>
        </is>
      </c>
      <c r="D316" s="8" t="inlineStr">
        <is>
          <t>CUST-1019</t>
        </is>
      </c>
      <c r="E316" s="9" t="inlineStr">
        <is>
          <t>賴彥宏</t>
        </is>
      </c>
      <c r="F316" s="8" t="inlineStr">
        <is>
          <t>冷盤</t>
        </is>
      </c>
      <c r="G316" s="8" t="inlineStr">
        <is>
          <t>APP-07</t>
        </is>
      </c>
      <c r="H316" s="9" t="inlineStr">
        <is>
          <t>煙燻粉肝</t>
        </is>
      </c>
      <c r="I316" s="10" t="n">
        <v>1</v>
      </c>
      <c r="J316" s="11" t="n">
        <v>120</v>
      </c>
      <c r="K316" s="11">
        <f>I316*J316</f>
        <v/>
      </c>
    </row>
    <row r="317">
      <c r="A317" s="4" t="n">
        <v>313</v>
      </c>
      <c r="B317" s="4" t="inlineStr">
        <is>
          <t>ORD-20260303</t>
        </is>
      </c>
      <c r="C317" s="4" t="inlineStr">
        <is>
          <t>2026-10-09</t>
        </is>
      </c>
      <c r="D317" s="4" t="inlineStr">
        <is>
          <t>CUST-1048</t>
        </is>
      </c>
      <c r="E317" s="5" t="inlineStr">
        <is>
          <t>顏立威</t>
        </is>
      </c>
      <c r="F317" s="4" t="inlineStr">
        <is>
          <t>湯品</t>
        </is>
      </c>
      <c r="G317" s="4" t="inlineStr">
        <is>
          <t>SOU-03</t>
        </is>
      </c>
      <c r="H317" s="5" t="inlineStr">
        <is>
          <t>鮮魚味噌豆腐湯</t>
        </is>
      </c>
      <c r="I317" s="6" t="n">
        <v>2</v>
      </c>
      <c r="J317" s="7" t="n">
        <v>160</v>
      </c>
      <c r="K317" s="7">
        <f>I317*J317</f>
        <v/>
      </c>
    </row>
    <row r="318">
      <c r="A318" s="8" t="n">
        <v>314</v>
      </c>
      <c r="B318" s="8" t="inlineStr">
        <is>
          <t>ORD-20260093</t>
        </is>
      </c>
      <c r="C318" s="8" t="inlineStr">
        <is>
          <t>2026-10-10</t>
        </is>
      </c>
      <c r="D318" s="8" t="inlineStr">
        <is>
          <t>CUST-1042</t>
        </is>
      </c>
      <c r="E318" s="9" t="inlineStr">
        <is>
          <t>簡銘成</t>
        </is>
      </c>
      <c r="F318" s="8" t="inlineStr">
        <is>
          <t>湯品</t>
        </is>
      </c>
      <c r="G318" s="8" t="inlineStr">
        <is>
          <t>SOU-05</t>
        </is>
      </c>
      <c r="H318" s="9" t="inlineStr">
        <is>
          <t>古早味西魯肉湯</t>
        </is>
      </c>
      <c r="I318" s="10" t="n">
        <v>1</v>
      </c>
      <c r="J318" s="11" t="n">
        <v>190</v>
      </c>
      <c r="K318" s="11">
        <f>I318*J318</f>
        <v/>
      </c>
    </row>
    <row r="319">
      <c r="A319" s="4" t="n">
        <v>315</v>
      </c>
      <c r="B319" s="4" t="inlineStr">
        <is>
          <t>ORD-20260110</t>
        </is>
      </c>
      <c r="C319" s="4" t="inlineStr">
        <is>
          <t>2026-10-10</t>
        </is>
      </c>
      <c r="D319" s="4" t="inlineStr">
        <is>
          <t>CUST-1048</t>
        </is>
      </c>
      <c r="E319" s="5" t="inlineStr">
        <is>
          <t>顏立威</t>
        </is>
      </c>
      <c r="F319" s="4" t="inlineStr">
        <is>
          <t>肉品</t>
        </is>
      </c>
      <c r="G319" s="4" t="inlineStr">
        <is>
          <t>MEA-03</t>
        </is>
      </c>
      <c r="H319" s="5" t="inlineStr">
        <is>
          <t>客家小炒</t>
        </is>
      </c>
      <c r="I319" s="6" t="n">
        <v>1</v>
      </c>
      <c r="J319" s="7" t="n">
        <v>190</v>
      </c>
      <c r="K319" s="7">
        <f>I319*J319</f>
        <v/>
      </c>
    </row>
    <row r="320">
      <c r="A320" s="8" t="n">
        <v>316</v>
      </c>
      <c r="B320" s="8" t="inlineStr">
        <is>
          <t>ORD-20260128</t>
        </is>
      </c>
      <c r="C320" s="8" t="inlineStr">
        <is>
          <t>2026-10-10</t>
        </is>
      </c>
      <c r="D320" s="8" t="inlineStr">
        <is>
          <t>CUST-1021</t>
        </is>
      </c>
      <c r="E320" s="9" t="inlineStr">
        <is>
          <t>徐世榮</t>
        </is>
      </c>
      <c r="F320" s="8" t="inlineStr">
        <is>
          <t>飲品</t>
        </is>
      </c>
      <c r="G320" s="8" t="inlineStr">
        <is>
          <t>DRK-02</t>
        </is>
      </c>
      <c r="H320" s="9" t="inlineStr">
        <is>
          <t>黑糖珍珠鮮奶</t>
        </is>
      </c>
      <c r="I320" s="10" t="n">
        <v>1</v>
      </c>
      <c r="J320" s="11" t="n">
        <v>90</v>
      </c>
      <c r="K320" s="11">
        <f>I320*J320</f>
        <v/>
      </c>
    </row>
    <row r="321">
      <c r="A321" s="4" t="n">
        <v>317</v>
      </c>
      <c r="B321" s="4" t="inlineStr">
        <is>
          <t>ORD-20260149</t>
        </is>
      </c>
      <c r="C321" s="4" t="inlineStr">
        <is>
          <t>2026-10-10</t>
        </is>
      </c>
      <c r="D321" s="4" t="inlineStr">
        <is>
          <t>CUST-1047</t>
        </is>
      </c>
      <c r="E321" s="5" t="inlineStr">
        <is>
          <t>江佩芳</t>
        </is>
      </c>
      <c r="F321" s="4" t="inlineStr">
        <is>
          <t>湯品</t>
        </is>
      </c>
      <c r="G321" s="4" t="inlineStr">
        <is>
          <t>SOU-04</t>
        </is>
      </c>
      <c r="H321" s="5" t="inlineStr">
        <is>
          <t>薑絲蛤蜊湯</t>
        </is>
      </c>
      <c r="I321" s="6" t="n">
        <v>4</v>
      </c>
      <c r="J321" s="7" t="n">
        <v>130</v>
      </c>
      <c r="K321" s="7">
        <f>I321*J321</f>
        <v/>
      </c>
    </row>
    <row r="322">
      <c r="A322" s="8" t="n">
        <v>318</v>
      </c>
      <c r="B322" s="8" t="inlineStr">
        <is>
          <t>ORD-20260279</t>
        </is>
      </c>
      <c r="C322" s="8" t="inlineStr">
        <is>
          <t>2026-10-10</t>
        </is>
      </c>
      <c r="D322" s="8" t="inlineStr">
        <is>
          <t>CUST-1045</t>
        </is>
      </c>
      <c r="E322" s="9" t="inlineStr">
        <is>
          <t>翁淑真</t>
        </is>
      </c>
      <c r="F322" s="8" t="inlineStr">
        <is>
          <t>蔬菜</t>
        </is>
      </c>
      <c r="G322" s="8" t="inlineStr">
        <is>
          <t>VEG-04</t>
        </is>
      </c>
      <c r="H322" s="9" t="inlineStr">
        <is>
          <t>蒜炒地瓜葉</t>
        </is>
      </c>
      <c r="I322" s="10" t="n">
        <v>1</v>
      </c>
      <c r="J322" s="11" t="n">
        <v>90</v>
      </c>
      <c r="K322" s="11">
        <f>I322*J322</f>
        <v/>
      </c>
    </row>
    <row r="323">
      <c r="A323" s="4" t="n">
        <v>319</v>
      </c>
      <c r="B323" s="4" t="inlineStr">
        <is>
          <t>ORD-20260292</t>
        </is>
      </c>
      <c r="C323" s="4" t="inlineStr">
        <is>
          <t>2026-10-10</t>
        </is>
      </c>
      <c r="D323" s="4" t="inlineStr">
        <is>
          <t>CUST-1044</t>
        </is>
      </c>
      <c r="E323" s="5" t="inlineStr">
        <is>
          <t>柯宗憲</t>
        </is>
      </c>
      <c r="F323" s="4" t="inlineStr">
        <is>
          <t>海鮮</t>
        </is>
      </c>
      <c r="G323" s="4" t="inlineStr">
        <is>
          <t>SEA-01</t>
        </is>
      </c>
      <c r="H323" s="5" t="inlineStr">
        <is>
          <t>鳳梨蝦球</t>
        </is>
      </c>
      <c r="I323" s="6" t="n">
        <v>6</v>
      </c>
      <c r="J323" s="7" t="n">
        <v>250</v>
      </c>
      <c r="K323" s="7">
        <f>I323*J323</f>
        <v/>
      </c>
    </row>
    <row r="324">
      <c r="A324" s="8" t="n">
        <v>320</v>
      </c>
      <c r="B324" s="8" t="inlineStr">
        <is>
          <t>ORD-20260320</t>
        </is>
      </c>
      <c r="C324" s="8" t="inlineStr">
        <is>
          <t>2026-10-10</t>
        </is>
      </c>
      <c r="D324" s="8" t="inlineStr">
        <is>
          <t>CUST-1015</t>
        </is>
      </c>
      <c r="E324" s="9" t="inlineStr">
        <is>
          <t>郭宏達</t>
        </is>
      </c>
      <c r="F324" s="8" t="inlineStr">
        <is>
          <t>飲品</t>
        </is>
      </c>
      <c r="G324" s="8" t="inlineStr">
        <is>
          <t>DRK-01</t>
        </is>
      </c>
      <c r="H324" s="9" t="inlineStr">
        <is>
          <t>古早味冬瓜檸檬</t>
        </is>
      </c>
      <c r="I324" s="10" t="n">
        <v>1</v>
      </c>
      <c r="J324" s="11" t="n">
        <v>80</v>
      </c>
      <c r="K324" s="11">
        <f>I324*J324</f>
        <v/>
      </c>
    </row>
    <row r="325">
      <c r="A325" s="12" t="inlineStr">
        <is>
          <t>合計 (Total)</t>
        </is>
      </c>
      <c r="B325" s="13" t="n"/>
      <c r="C325" s="13" t="n"/>
      <c r="D325" s="13" t="n"/>
      <c r="E325" s="13" t="n"/>
      <c r="F325" s="13" t="n"/>
      <c r="G325" s="13" t="n"/>
      <c r="H325" s="13" t="n"/>
      <c r="I325" s="14">
        <f>SUM(I5:I324)</f>
        <v/>
      </c>
      <c r="J325" s="15">
        <f>AVERAGE(J5:J324)</f>
        <v/>
      </c>
      <c r="K325" s="16">
        <f>SUM(K5:K324)</f>
        <v/>
      </c>
    </row>
  </sheetData>
  <autoFilter ref="A4:K324"/>
  <mergeCells count="1">
    <mergeCell ref="A325:H3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7" customWidth="1" min="1" max="1"/>
    <col width="23" customWidth="1" min="2" max="2"/>
    <col width="14" customWidth="1" min="3" max="3"/>
    <col width="17" customWidth="1" min="4" max="4"/>
    <col width="38" customWidth="1" min="5" max="5"/>
    <col width="58" customWidth="1" min="6" max="6"/>
  </cols>
  <sheetData>
    <row r="1">
      <c r="A1" s="1" t="inlineStr">
        <is>
          <t>台式菜品目錄與價格主檔</t>
        </is>
      </c>
    </row>
    <row r="2">
      <c r="A2" s="2" t="inlineStr">
        <is>
          <t>收錄台式料理 7 大分類、44 款經典熱銷菜色 ｜ 單價範圍：$80 ~ $250</t>
        </is>
      </c>
    </row>
    <row r="3"/>
    <row r="4">
      <c r="A4" s="17" t="inlineStr">
        <is>
          <t>菜品代號</t>
        </is>
      </c>
      <c r="B4" s="17" t="inlineStr">
        <is>
          <t>菜品名稱</t>
        </is>
      </c>
      <c r="C4" s="17" t="inlineStr">
        <is>
          <t>菜品分類</t>
        </is>
      </c>
      <c r="D4" s="17" t="inlineStr">
        <is>
          <t>標準單價 (NT$)</t>
        </is>
      </c>
      <c r="E4" s="17" t="inlineStr">
        <is>
          <t>點餐累積筆數</t>
        </is>
      </c>
      <c r="F4" s="17" t="inlineStr">
        <is>
          <t>累計銷售總額</t>
        </is>
      </c>
    </row>
    <row r="5">
      <c r="A5" s="4" t="inlineStr">
        <is>
          <t>APP-01</t>
        </is>
      </c>
      <c r="B5" s="5" t="inlineStr">
        <is>
          <t>台式蒜泥白肉</t>
        </is>
      </c>
      <c r="C5" s="4" t="inlineStr">
        <is>
          <t>冷盤</t>
        </is>
      </c>
      <c r="D5" s="7" t="n">
        <v>160</v>
      </c>
      <c r="E5" s="6">
        <f>COUNTIF(點餐明細資料!G5:G324, A5)</f>
        <v/>
      </c>
      <c r="F5" s="7">
        <f>SUMIF(點餐明細資料!G5:G324, A5, 點餐明細資料!K5:K324)</f>
        <v/>
      </c>
    </row>
    <row r="6">
      <c r="A6" s="8" t="inlineStr">
        <is>
          <t>APP-02</t>
        </is>
      </c>
      <c r="B6" s="9" t="inlineStr">
        <is>
          <t>五味透抽</t>
        </is>
      </c>
      <c r="C6" s="8" t="inlineStr">
        <is>
          <t>冷盤</t>
        </is>
      </c>
      <c r="D6" s="11" t="n">
        <v>220</v>
      </c>
      <c r="E6" s="10">
        <f>COUNTIF(點餐明細資料!G5:G324, A6)</f>
        <v/>
      </c>
      <c r="F6" s="11">
        <f>SUMIF(點餐明細資料!G5:G324, A6, 點餐明細資料!K5:K324)</f>
        <v/>
      </c>
    </row>
    <row r="7">
      <c r="A7" s="4" t="inlineStr">
        <is>
          <t>APP-03</t>
        </is>
      </c>
      <c r="B7" s="5" t="inlineStr">
        <is>
          <t>紹興醉雞卷</t>
        </is>
      </c>
      <c r="C7" s="4" t="inlineStr">
        <is>
          <t>冷盤</t>
        </is>
      </c>
      <c r="D7" s="7" t="n">
        <v>210</v>
      </c>
      <c r="E7" s="6">
        <f>COUNTIF(點餐明細資料!G5:G324, A7)</f>
        <v/>
      </c>
      <c r="F7" s="7">
        <f>SUMIF(點餐明細資料!G5:G324, A7, 點餐明細資料!K5:K324)</f>
        <v/>
      </c>
    </row>
    <row r="8">
      <c r="A8" s="8" t="inlineStr">
        <is>
          <t>APP-04</t>
        </is>
      </c>
      <c r="B8" s="9" t="inlineStr">
        <is>
          <t>台式涼拌小黃瓜</t>
        </is>
      </c>
      <c r="C8" s="8" t="inlineStr">
        <is>
          <t>冷盤</t>
        </is>
      </c>
      <c r="D8" s="11" t="n">
        <v>80</v>
      </c>
      <c r="E8" s="10">
        <f>COUNTIF(點餐明細資料!G5:G324, A8)</f>
        <v/>
      </c>
      <c r="F8" s="11">
        <f>SUMIF(點餐明細資料!G5:G324, A8, 點餐明細資料!K5:K324)</f>
        <v/>
      </c>
    </row>
    <row r="9">
      <c r="A9" s="4" t="inlineStr">
        <is>
          <t>APP-05</t>
        </is>
      </c>
      <c r="B9" s="5" t="inlineStr">
        <is>
          <t>黃金皮蛋豆腐</t>
        </is>
      </c>
      <c r="C9" s="4" t="inlineStr">
        <is>
          <t>冷盤</t>
        </is>
      </c>
      <c r="D9" s="7" t="n">
        <v>90</v>
      </c>
      <c r="E9" s="6">
        <f>COUNTIF(點餐明細資料!G5:G324, A9)</f>
        <v/>
      </c>
      <c r="F9" s="7">
        <f>SUMIF(點餐明細資料!G5:G324, A9, 點餐明細資料!K5:K324)</f>
        <v/>
      </c>
    </row>
    <row r="10">
      <c r="A10" s="8" t="inlineStr">
        <is>
          <t>APP-06</t>
        </is>
      </c>
      <c r="B10" s="9" t="inlineStr">
        <is>
          <t>涼拌海蜇皮</t>
        </is>
      </c>
      <c r="C10" s="8" t="inlineStr">
        <is>
          <t>冷盤</t>
        </is>
      </c>
      <c r="D10" s="11" t="n">
        <v>180</v>
      </c>
      <c r="E10" s="10">
        <f>COUNTIF(點餐明細資料!G5:G324, A10)</f>
        <v/>
      </c>
      <c r="F10" s="11">
        <f>SUMIF(點餐明細資料!G5:G324, A10, 點餐明細資料!K5:K324)</f>
        <v/>
      </c>
    </row>
    <row r="11">
      <c r="A11" s="4" t="inlineStr">
        <is>
          <t>APP-07</t>
        </is>
      </c>
      <c r="B11" s="5" t="inlineStr">
        <is>
          <t>煙燻粉肝</t>
        </is>
      </c>
      <c r="C11" s="4" t="inlineStr">
        <is>
          <t>冷盤</t>
        </is>
      </c>
      <c r="D11" s="7" t="n">
        <v>120</v>
      </c>
      <c r="E11" s="6">
        <f>COUNTIF(點餐明細資料!G5:G324, A11)</f>
        <v/>
      </c>
      <c r="F11" s="7">
        <f>SUMIF(點餐明細資料!G5:G324, A11, 點餐明細資料!K5:K324)</f>
        <v/>
      </c>
    </row>
    <row r="12">
      <c r="A12" s="8" t="inlineStr">
        <is>
          <t>MEA-01</t>
        </is>
      </c>
      <c r="B12" s="9" t="inlineStr">
        <is>
          <t>經典台式三杯雞</t>
        </is>
      </c>
      <c r="C12" s="8" t="inlineStr">
        <is>
          <t>肉品</t>
        </is>
      </c>
      <c r="D12" s="11" t="n">
        <v>240</v>
      </c>
      <c r="E12" s="10">
        <f>COUNTIF(點餐明細資料!G5:G324, A12)</f>
        <v/>
      </c>
      <c r="F12" s="11">
        <f>SUMIF(點餐明細資料!G5:G324, A12, 點餐明細資料!K5:K324)</f>
        <v/>
      </c>
    </row>
    <row r="13">
      <c r="A13" s="4" t="inlineStr">
        <is>
          <t>MEA-02</t>
        </is>
      </c>
      <c r="B13" s="5" t="inlineStr">
        <is>
          <t>阿嬤紅燒肉</t>
        </is>
      </c>
      <c r="C13" s="4" t="inlineStr">
        <is>
          <t>肉品</t>
        </is>
      </c>
      <c r="D13" s="7" t="n">
        <v>220</v>
      </c>
      <c r="E13" s="6">
        <f>COUNTIF(點餐明細資料!G5:G324, A13)</f>
        <v/>
      </c>
      <c r="F13" s="7">
        <f>SUMIF(點餐明細資料!G5:G324, A13, 點餐明細資料!K5:K324)</f>
        <v/>
      </c>
    </row>
    <row r="14">
      <c r="A14" s="8" t="inlineStr">
        <is>
          <t>MEA-03</t>
        </is>
      </c>
      <c r="B14" s="9" t="inlineStr">
        <is>
          <t>客家小炒</t>
        </is>
      </c>
      <c r="C14" s="8" t="inlineStr">
        <is>
          <t>肉品</t>
        </is>
      </c>
      <c r="D14" s="11" t="n">
        <v>190</v>
      </c>
      <c r="E14" s="10">
        <f>COUNTIF(點餐明細資料!G5:G324, A14)</f>
        <v/>
      </c>
      <c r="F14" s="11">
        <f>SUMIF(點餐明細資料!G5:G324, A14, 點餐明細資料!K5:K324)</f>
        <v/>
      </c>
    </row>
    <row r="15">
      <c r="A15" s="4" t="inlineStr">
        <is>
          <t>MEA-04</t>
        </is>
      </c>
      <c r="B15" s="5" t="inlineStr">
        <is>
          <t>醬燒蔥爆牛肉</t>
        </is>
      </c>
      <c r="C15" s="4" t="inlineStr">
        <is>
          <t>肉品</t>
        </is>
      </c>
      <c r="D15" s="7" t="n">
        <v>230</v>
      </c>
      <c r="E15" s="6">
        <f>COUNTIF(點餐明細資料!G5:G324, A15)</f>
        <v/>
      </c>
      <c r="F15" s="7">
        <f>SUMIF(點餐明細資料!G5:G324, A15, 點餐明細資料!K5:K324)</f>
        <v/>
      </c>
    </row>
    <row r="16">
      <c r="A16" s="8" t="inlineStr">
        <is>
          <t>MEA-05</t>
        </is>
      </c>
      <c r="B16" s="9" t="inlineStr">
        <is>
          <t>糖醋里肌肉</t>
        </is>
      </c>
      <c r="C16" s="8" t="inlineStr">
        <is>
          <t>肉品</t>
        </is>
      </c>
      <c r="D16" s="11" t="n">
        <v>200</v>
      </c>
      <c r="E16" s="10">
        <f>COUNTIF(點餐明細資料!G5:G324, A16)</f>
        <v/>
      </c>
      <c r="F16" s="11">
        <f>SUMIF(點餐明細資料!G5:G324, A16, 點餐明細資料!K5:K324)</f>
        <v/>
      </c>
    </row>
    <row r="17">
      <c r="A17" s="4" t="inlineStr">
        <is>
          <t>MEA-06</t>
        </is>
      </c>
      <c r="B17" s="5" t="inlineStr">
        <is>
          <t>香酥炸排骨</t>
        </is>
      </c>
      <c r="C17" s="4" t="inlineStr">
        <is>
          <t>肉品</t>
        </is>
      </c>
      <c r="D17" s="7" t="n">
        <v>160</v>
      </c>
      <c r="E17" s="6">
        <f>COUNTIF(點餐明細資料!G5:G324, A17)</f>
        <v/>
      </c>
      <c r="F17" s="7">
        <f>SUMIF(點餐明細資料!G5:G324, A17, 點餐明細資料!K5:K324)</f>
        <v/>
      </c>
    </row>
    <row r="18">
      <c r="A18" s="8" t="inlineStr">
        <is>
          <t>MEA-07</t>
        </is>
      </c>
      <c r="B18" s="9" t="inlineStr">
        <is>
          <t>薑絲炒大腸</t>
        </is>
      </c>
      <c r="C18" s="8" t="inlineStr">
        <is>
          <t>肉品</t>
        </is>
      </c>
      <c r="D18" s="11" t="n">
        <v>210</v>
      </c>
      <c r="E18" s="10">
        <f>COUNTIF(點餐明細資料!G5:G324, A18)</f>
        <v/>
      </c>
      <c r="F18" s="11">
        <f>SUMIF(點餐明細資料!G5:G324, A18, 點餐明細資料!K5:K324)</f>
        <v/>
      </c>
    </row>
    <row r="19">
      <c r="A19" s="4" t="inlineStr">
        <is>
          <t>MEA-08</t>
        </is>
      </c>
      <c r="B19" s="5" t="inlineStr">
        <is>
          <t>麻油松阪豬</t>
        </is>
      </c>
      <c r="C19" s="4" t="inlineStr">
        <is>
          <t>肉品</t>
        </is>
      </c>
      <c r="D19" s="7" t="n">
        <v>250</v>
      </c>
      <c r="E19" s="6">
        <f>COUNTIF(點餐明細資料!G5:G324, A19)</f>
        <v/>
      </c>
      <c r="F19" s="7">
        <f>SUMIF(點餐明細資料!G5:G324, A19, 點餐明細資料!K5:K324)</f>
        <v/>
      </c>
    </row>
    <row r="20">
      <c r="A20" s="8" t="inlineStr">
        <is>
          <t>SEA-01</t>
        </is>
      </c>
      <c r="B20" s="9" t="inlineStr">
        <is>
          <t>鳳梨蝦球</t>
        </is>
      </c>
      <c r="C20" s="8" t="inlineStr">
        <is>
          <t>海鮮</t>
        </is>
      </c>
      <c r="D20" s="11" t="n">
        <v>250</v>
      </c>
      <c r="E20" s="10">
        <f>COUNTIF(點餐明細資料!G5:G324, A20)</f>
        <v/>
      </c>
      <c r="F20" s="11">
        <f>SUMIF(點餐明細資料!G5:G324, A20, 點餐明細資料!K5:K324)</f>
        <v/>
      </c>
    </row>
    <row r="21">
      <c r="A21" s="4" t="inlineStr">
        <is>
          <t>SEA-02</t>
        </is>
      </c>
      <c r="B21" s="5" t="inlineStr">
        <is>
          <t>豆酥鱈魚</t>
        </is>
      </c>
      <c r="C21" s="4" t="inlineStr">
        <is>
          <t>海鮮</t>
        </is>
      </c>
      <c r="D21" s="7" t="n">
        <v>240</v>
      </c>
      <c r="E21" s="6">
        <f>COUNTIF(點餐明細資料!G5:G324, A21)</f>
        <v/>
      </c>
      <c r="F21" s="7">
        <f>SUMIF(點餐明細資料!G5:G324, A21, 點餐明細資料!K5:K324)</f>
        <v/>
      </c>
    </row>
    <row r="22">
      <c r="A22" s="8" t="inlineStr">
        <is>
          <t>SEA-03</t>
        </is>
      </c>
      <c r="B22" s="9" t="inlineStr">
        <is>
          <t>塔香炒蛤蜊</t>
        </is>
      </c>
      <c r="C22" s="8" t="inlineStr">
        <is>
          <t>海鮮</t>
        </is>
      </c>
      <c r="D22" s="11" t="n">
        <v>190</v>
      </c>
      <c r="E22" s="10">
        <f>COUNTIF(點餐明細資料!G5:G324, A22)</f>
        <v/>
      </c>
      <c r="F22" s="11">
        <f>SUMIF(點餐明細資料!G5:G324, A22, 點餐明細資料!K5:K324)</f>
        <v/>
      </c>
    </row>
    <row r="23">
      <c r="A23" s="4" t="inlineStr">
        <is>
          <t>SEA-04</t>
        </is>
      </c>
      <c r="B23" s="5" t="inlineStr">
        <is>
          <t>金沙中卷</t>
        </is>
      </c>
      <c r="C23" s="4" t="inlineStr">
        <is>
          <t>海鮮</t>
        </is>
      </c>
      <c r="D23" s="7" t="n">
        <v>230</v>
      </c>
      <c r="E23" s="6">
        <f>COUNTIF(點餐明細資料!G5:G324, A23)</f>
        <v/>
      </c>
      <c r="F23" s="7">
        <f>SUMIF(點餐明細資料!G5:G324, A23, 點餐明細資料!K5:K324)</f>
        <v/>
      </c>
    </row>
    <row r="24">
      <c r="A24" s="8" t="inlineStr">
        <is>
          <t>SEA-05</t>
        </is>
      </c>
      <c r="B24" s="9" t="inlineStr">
        <is>
          <t>乾煎虱目魚肚</t>
        </is>
      </c>
      <c r="C24" s="8" t="inlineStr">
        <is>
          <t>海鮮</t>
        </is>
      </c>
      <c r="D24" s="11" t="n">
        <v>180</v>
      </c>
      <c r="E24" s="10">
        <f>COUNTIF(點餐明細資料!G5:G324, A24)</f>
        <v/>
      </c>
      <c r="F24" s="11">
        <f>SUMIF(點餐明細資料!G5:G324, A24, 點餐明細資料!K5:K324)</f>
        <v/>
      </c>
    </row>
    <row r="25">
      <c r="A25" s="4" t="inlineStr">
        <is>
          <t>SEA-06</t>
        </is>
      </c>
      <c r="B25" s="5" t="inlineStr">
        <is>
          <t>清蒸金目鱸魚片</t>
        </is>
      </c>
      <c r="C25" s="4" t="inlineStr">
        <is>
          <t>海鮮</t>
        </is>
      </c>
      <c r="D25" s="7" t="n">
        <v>240</v>
      </c>
      <c r="E25" s="6">
        <f>COUNTIF(點餐明細資料!G5:G324, A25)</f>
        <v/>
      </c>
      <c r="F25" s="7">
        <f>SUMIF(點餐明細資料!G5:G324, A25, 點餐明細資料!K5:K324)</f>
        <v/>
      </c>
    </row>
    <row r="26">
      <c r="A26" s="8" t="inlineStr">
        <is>
          <t>SEA-07</t>
        </is>
      </c>
      <c r="B26" s="9" t="inlineStr">
        <is>
          <t>生炒花枝</t>
        </is>
      </c>
      <c r="C26" s="8" t="inlineStr">
        <is>
          <t>海鮮</t>
        </is>
      </c>
      <c r="D26" s="11" t="n">
        <v>200</v>
      </c>
      <c r="E26" s="10">
        <f>COUNTIF(點餐明細資料!G5:G324, A26)</f>
        <v/>
      </c>
      <c r="F26" s="11">
        <f>SUMIF(點餐明細資料!G5:G324, A26, 點餐明細資料!K5:K324)</f>
        <v/>
      </c>
    </row>
    <row r="27">
      <c r="A27" s="4" t="inlineStr">
        <is>
          <t>VEG-01</t>
        </is>
      </c>
      <c r="B27" s="5" t="inlineStr">
        <is>
          <t>清炒高麗菜</t>
        </is>
      </c>
      <c r="C27" s="4" t="inlineStr">
        <is>
          <t>蔬菜</t>
        </is>
      </c>
      <c r="D27" s="7" t="n">
        <v>110</v>
      </c>
      <c r="E27" s="6">
        <f>COUNTIF(點餐明細資料!G5:G324, A27)</f>
        <v/>
      </c>
      <c r="F27" s="7">
        <f>SUMIF(點餐明細資料!G5:G324, A27, 點餐明細資料!K5:K324)</f>
        <v/>
      </c>
    </row>
    <row r="28">
      <c r="A28" s="8" t="inlineStr">
        <is>
          <t>VEG-02</t>
        </is>
      </c>
      <c r="B28" s="9" t="inlineStr">
        <is>
          <t>櫻花蝦炒高麗菜</t>
        </is>
      </c>
      <c r="C28" s="8" t="inlineStr">
        <is>
          <t>蔬菜</t>
        </is>
      </c>
      <c r="D28" s="11" t="n">
        <v>150</v>
      </c>
      <c r="E28" s="10">
        <f>COUNTIF(點餐明細資料!G5:G324, A28)</f>
        <v/>
      </c>
      <c r="F28" s="11">
        <f>SUMIF(點餐明細資料!G5:G324, A28, 點餐明細資料!K5:K324)</f>
        <v/>
      </c>
    </row>
    <row r="29">
      <c r="A29" s="4" t="inlineStr">
        <is>
          <t>VEG-03</t>
        </is>
      </c>
      <c r="B29" s="5" t="inlineStr">
        <is>
          <t>樹子炒水蓮</t>
        </is>
      </c>
      <c r="C29" s="4" t="inlineStr">
        <is>
          <t>蔬菜</t>
        </is>
      </c>
      <c r="D29" s="7" t="n">
        <v>140</v>
      </c>
      <c r="E29" s="6">
        <f>COUNTIF(點餐明細資料!G5:G324, A29)</f>
        <v/>
      </c>
      <c r="F29" s="7">
        <f>SUMIF(點餐明細資料!G5:G324, A29, 點餐明細資料!K5:K324)</f>
        <v/>
      </c>
    </row>
    <row r="30">
      <c r="A30" s="8" t="inlineStr">
        <is>
          <t>VEG-04</t>
        </is>
      </c>
      <c r="B30" s="9" t="inlineStr">
        <is>
          <t>蒜炒地瓜葉</t>
        </is>
      </c>
      <c r="C30" s="8" t="inlineStr">
        <is>
          <t>蔬菜</t>
        </is>
      </c>
      <c r="D30" s="11" t="n">
        <v>90</v>
      </c>
      <c r="E30" s="10">
        <f>COUNTIF(點餐明細資料!G5:G324, A30)</f>
        <v/>
      </c>
      <c r="F30" s="11">
        <f>SUMIF(點餐明細資料!G5:G324, A30, 點餐明細資料!K5:K324)</f>
        <v/>
      </c>
    </row>
    <row r="31">
      <c r="A31" s="4" t="inlineStr">
        <is>
          <t>VEG-05</t>
        </is>
      </c>
      <c r="B31" s="5" t="inlineStr">
        <is>
          <t>鹹蛋苦瓜</t>
        </is>
      </c>
      <c r="C31" s="4" t="inlineStr">
        <is>
          <t>蔬菜</t>
        </is>
      </c>
      <c r="D31" s="7" t="n">
        <v>160</v>
      </c>
      <c r="E31" s="6">
        <f>COUNTIF(點餐明細資料!G5:G324, A31)</f>
        <v/>
      </c>
      <c r="F31" s="7">
        <f>SUMIF(點餐明細資料!G5:G324, A31, 點餐明細資料!K5:K324)</f>
        <v/>
      </c>
    </row>
    <row r="32">
      <c r="A32" s="8" t="inlineStr">
        <is>
          <t>VEG-06</t>
        </is>
      </c>
      <c r="B32" s="9" t="inlineStr">
        <is>
          <t>吻仔魚莧菜</t>
        </is>
      </c>
      <c r="C32" s="8" t="inlineStr">
        <is>
          <t>蔬菜</t>
        </is>
      </c>
      <c r="D32" s="11" t="n">
        <v>140</v>
      </c>
      <c r="E32" s="10">
        <f>COUNTIF(點餐明細資料!G5:G324, A32)</f>
        <v/>
      </c>
      <c r="F32" s="11">
        <f>SUMIF(點餐明細資料!G5:G324, A32, 點餐明細資料!K5:K324)</f>
        <v/>
      </c>
    </row>
    <row r="33">
      <c r="A33" s="4" t="inlineStr">
        <is>
          <t>VEG-07</t>
        </is>
      </c>
      <c r="B33" s="5" t="inlineStr">
        <is>
          <t>開陽白菜滷</t>
        </is>
      </c>
      <c r="C33" s="4" t="inlineStr">
        <is>
          <t>蔬菜</t>
        </is>
      </c>
      <c r="D33" s="7" t="n">
        <v>130</v>
      </c>
      <c r="E33" s="6">
        <f>COUNTIF(點餐明細資料!G5:G324, A33)</f>
        <v/>
      </c>
      <c r="F33" s="7">
        <f>SUMIF(點餐明細資料!G5:G324, A33, 點餐明細資料!K5:K324)</f>
        <v/>
      </c>
    </row>
    <row r="34">
      <c r="A34" s="8" t="inlineStr">
        <is>
          <t>SOU-01</t>
        </is>
      </c>
      <c r="B34" s="9" t="inlineStr">
        <is>
          <t>剝皮辣椒雞湯</t>
        </is>
      </c>
      <c r="C34" s="8" t="inlineStr">
        <is>
          <t>湯品</t>
        </is>
      </c>
      <c r="D34" s="11" t="n">
        <v>220</v>
      </c>
      <c r="E34" s="10">
        <f>COUNTIF(點餐明細資料!G5:G324, A34)</f>
        <v/>
      </c>
      <c r="F34" s="11">
        <f>SUMIF(點餐明細資料!G5:G324, A34, 點餐明細資料!K5:K324)</f>
        <v/>
      </c>
    </row>
    <row r="35">
      <c r="A35" s="4" t="inlineStr">
        <is>
          <t>SOU-02</t>
        </is>
      </c>
      <c r="B35" s="5" t="inlineStr">
        <is>
          <t>鳳梨苦瓜雞湯</t>
        </is>
      </c>
      <c r="C35" s="4" t="inlineStr">
        <is>
          <t>湯品</t>
        </is>
      </c>
      <c r="D35" s="7" t="n">
        <v>210</v>
      </c>
      <c r="E35" s="6">
        <f>COUNTIF(點餐明細資料!G5:G324, A35)</f>
        <v/>
      </c>
      <c r="F35" s="7">
        <f>SUMIF(點餐明細資料!G5:G324, A35, 點餐明細資料!K5:K324)</f>
        <v/>
      </c>
    </row>
    <row r="36">
      <c r="A36" s="8" t="inlineStr">
        <is>
          <t>SOU-03</t>
        </is>
      </c>
      <c r="B36" s="9" t="inlineStr">
        <is>
          <t>鮮魚味噌豆腐湯</t>
        </is>
      </c>
      <c r="C36" s="8" t="inlineStr">
        <is>
          <t>湯品</t>
        </is>
      </c>
      <c r="D36" s="11" t="n">
        <v>160</v>
      </c>
      <c r="E36" s="10">
        <f>COUNTIF(點餐明細資料!G5:G324, A36)</f>
        <v/>
      </c>
      <c r="F36" s="11">
        <f>SUMIF(點餐明細資料!G5:G324, A36, 點餐明細資料!K5:K324)</f>
        <v/>
      </c>
    </row>
    <row r="37">
      <c r="A37" s="4" t="inlineStr">
        <is>
          <t>SOU-04</t>
        </is>
      </c>
      <c r="B37" s="5" t="inlineStr">
        <is>
          <t>薑絲蛤蜊湯</t>
        </is>
      </c>
      <c r="C37" s="4" t="inlineStr">
        <is>
          <t>湯品</t>
        </is>
      </c>
      <c r="D37" s="7" t="n">
        <v>130</v>
      </c>
      <c r="E37" s="6">
        <f>COUNTIF(點餐明細資料!G5:G324, A37)</f>
        <v/>
      </c>
      <c r="F37" s="7">
        <f>SUMIF(點餐明細資料!G5:G324, A37, 點餐明細資料!K5:K324)</f>
        <v/>
      </c>
    </row>
    <row r="38">
      <c r="A38" s="8" t="inlineStr">
        <is>
          <t>SOU-05</t>
        </is>
      </c>
      <c r="B38" s="9" t="inlineStr">
        <is>
          <t>古早味西魯肉湯</t>
        </is>
      </c>
      <c r="C38" s="8" t="inlineStr">
        <is>
          <t>湯品</t>
        </is>
      </c>
      <c r="D38" s="11" t="n">
        <v>190</v>
      </c>
      <c r="E38" s="10">
        <f>COUNTIF(點餐明細資料!G5:G324, A38)</f>
        <v/>
      </c>
      <c r="F38" s="11">
        <f>SUMIF(點餐明細資料!G5:G324, A38, 點餐明細資料!K5:K324)</f>
        <v/>
      </c>
    </row>
    <row r="39">
      <c r="A39" s="4" t="inlineStr">
        <is>
          <t>SOU-06</t>
        </is>
      </c>
      <c r="B39" s="5" t="inlineStr">
        <is>
          <t>貢丸蘿蔔排骨湯</t>
        </is>
      </c>
      <c r="C39" s="4" t="inlineStr">
        <is>
          <t>湯品</t>
        </is>
      </c>
      <c r="D39" s="7" t="n">
        <v>120</v>
      </c>
      <c r="E39" s="6">
        <f>COUNTIF(點餐明細資料!G5:G324, A39)</f>
        <v/>
      </c>
      <c r="F39" s="7">
        <f>SUMIF(點餐明細資料!G5:G324, A39, 點餐明細資料!K5:K324)</f>
        <v/>
      </c>
    </row>
    <row r="40">
      <c r="A40" s="8" t="inlineStr">
        <is>
          <t>STA-01</t>
        </is>
      </c>
      <c r="B40" s="9" t="inlineStr">
        <is>
          <t>台式古早味炒米粉</t>
        </is>
      </c>
      <c r="C40" s="8" t="inlineStr">
        <is>
          <t>主食</t>
        </is>
      </c>
      <c r="D40" s="11" t="n">
        <v>120</v>
      </c>
      <c r="E40" s="10">
        <f>COUNTIF(點餐明細資料!G5:G324, A40)</f>
        <v/>
      </c>
      <c r="F40" s="11">
        <f>SUMIF(點餐明細資料!G5:G324, A40, 點餐明細資料!K5:K324)</f>
        <v/>
      </c>
    </row>
    <row r="41">
      <c r="A41" s="4" t="inlineStr">
        <is>
          <t>STA-02</t>
        </is>
      </c>
      <c r="B41" s="5" t="inlineStr">
        <is>
          <t>台式肉絲炒麵</t>
        </is>
      </c>
      <c r="C41" s="4" t="inlineStr">
        <is>
          <t>主食</t>
        </is>
      </c>
      <c r="D41" s="7" t="n">
        <v>110</v>
      </c>
      <c r="E41" s="6">
        <f>COUNTIF(點餐明細資料!G5:G324, A41)</f>
        <v/>
      </c>
      <c r="F41" s="7">
        <f>SUMIF(點餐明細資料!G5:G324, A41, 點餐明細資料!K5:K324)</f>
        <v/>
      </c>
    </row>
    <row r="42">
      <c r="A42" s="8" t="inlineStr">
        <is>
          <t>STA-03</t>
        </is>
      </c>
      <c r="B42" s="9" t="inlineStr">
        <is>
          <t>櫻花蝦炒飯</t>
        </is>
      </c>
      <c r="C42" s="8" t="inlineStr">
        <is>
          <t>主食</t>
        </is>
      </c>
      <c r="D42" s="11" t="n">
        <v>150</v>
      </c>
      <c r="E42" s="10">
        <f>COUNTIF(點餐明細資料!G5:G324, A42)</f>
        <v/>
      </c>
      <c r="F42" s="11">
        <f>SUMIF(點餐明細資料!G5:G324, A42, 點餐明細資料!K5:K324)</f>
        <v/>
      </c>
    </row>
    <row r="43">
      <c r="A43" s="4" t="inlineStr">
        <is>
          <t>STA-04</t>
        </is>
      </c>
      <c r="B43" s="5" t="inlineStr">
        <is>
          <t>烏魚子炒飯</t>
        </is>
      </c>
      <c r="C43" s="4" t="inlineStr">
        <is>
          <t>主食</t>
        </is>
      </c>
      <c r="D43" s="7" t="n">
        <v>220</v>
      </c>
      <c r="E43" s="6">
        <f>COUNTIF(點餐明細資料!G5:G324, A43)</f>
        <v/>
      </c>
      <c r="F43" s="7">
        <f>SUMIF(點餐明細資料!G5:G324, A43, 點餐明細資料!K5:K324)</f>
        <v/>
      </c>
    </row>
    <row r="44">
      <c r="A44" s="8" t="inlineStr">
        <is>
          <t>STA-05</t>
        </is>
      </c>
      <c r="B44" s="9" t="inlineStr">
        <is>
          <t>招牌古早味滷肉飯(大)</t>
        </is>
      </c>
      <c r="C44" s="8" t="inlineStr">
        <is>
          <t>主食</t>
        </is>
      </c>
      <c r="D44" s="11" t="n">
        <v>80</v>
      </c>
      <c r="E44" s="10">
        <f>COUNTIF(點餐明細資料!G5:G324, A44)</f>
        <v/>
      </c>
      <c r="F44" s="11">
        <f>SUMIF(點餐明細資料!G5:G324, A44, 點餐明細資料!K5:K324)</f>
        <v/>
      </c>
    </row>
    <row r="45">
      <c r="A45" s="4" t="inlineStr">
        <is>
          <t>STA-06</t>
        </is>
      </c>
      <c r="B45" s="5" t="inlineStr">
        <is>
          <t>麻油雞煨飯</t>
        </is>
      </c>
      <c r="C45" s="4" t="inlineStr">
        <is>
          <t>主食</t>
        </is>
      </c>
      <c r="D45" s="7" t="n">
        <v>180</v>
      </c>
      <c r="E45" s="6">
        <f>COUNTIF(點餐明細資料!G5:G324, A45)</f>
        <v/>
      </c>
      <c r="F45" s="7">
        <f>SUMIF(點餐明細資料!G5:G324, A45, 點餐明細資料!K5:K324)</f>
        <v/>
      </c>
    </row>
    <row r="46">
      <c r="A46" s="8" t="inlineStr">
        <is>
          <t>DRK-01</t>
        </is>
      </c>
      <c r="B46" s="9" t="inlineStr">
        <is>
          <t>古早味冬瓜檸檬</t>
        </is>
      </c>
      <c r="C46" s="8" t="inlineStr">
        <is>
          <t>飲品</t>
        </is>
      </c>
      <c r="D46" s="11" t="n">
        <v>80</v>
      </c>
      <c r="E46" s="10">
        <f>COUNTIF(點餐明細資料!G5:G324, A46)</f>
        <v/>
      </c>
      <c r="F46" s="11">
        <f>SUMIF(點餐明細資料!G5:G324, A46, 點餐明細資料!K5:K324)</f>
        <v/>
      </c>
    </row>
    <row r="47">
      <c r="A47" s="4" t="inlineStr">
        <is>
          <t>DRK-02</t>
        </is>
      </c>
      <c r="B47" s="5" t="inlineStr">
        <is>
          <t>黑糖珍珠鮮奶</t>
        </is>
      </c>
      <c r="C47" s="4" t="inlineStr">
        <is>
          <t>飲品</t>
        </is>
      </c>
      <c r="D47" s="7" t="n">
        <v>90</v>
      </c>
      <c r="E47" s="6">
        <f>COUNTIF(點餐明細資料!G5:G324, A47)</f>
        <v/>
      </c>
      <c r="F47" s="7">
        <f>SUMIF(點餐明細資料!G5:G324, A47, 點餐明細資料!K5:K324)</f>
        <v/>
      </c>
    </row>
    <row r="48">
      <c r="A48" s="8" t="inlineStr">
        <is>
          <t>DRK-03</t>
        </is>
      </c>
      <c r="B48" s="9" t="inlineStr">
        <is>
          <t>台南冷泡高山青茶</t>
        </is>
      </c>
      <c r="C48" s="8" t="inlineStr">
        <is>
          <t>飲品</t>
        </is>
      </c>
      <c r="D48" s="11" t="n">
        <v>80</v>
      </c>
      <c r="E48" s="10">
        <f>COUNTIF(點餐明細資料!G5:G324, A48)</f>
        <v/>
      </c>
      <c r="F48" s="11">
        <f>SUMIF(點餐明細資料!G5:G324, A48, 點餐明細資料!K5:K324)</f>
        <v/>
      </c>
    </row>
    <row r="49">
      <c r="A49" s="4" t="inlineStr">
        <is>
          <t>DRK-04</t>
        </is>
      </c>
      <c r="B49" s="5" t="inlineStr">
        <is>
          <t>特調酸梅湯</t>
        </is>
      </c>
      <c r="C49" s="4" t="inlineStr">
        <is>
          <t>飲品</t>
        </is>
      </c>
      <c r="D49" s="7" t="n">
        <v>80</v>
      </c>
      <c r="E49" s="6">
        <f>COUNTIF(點餐明細資料!G5:G324, A49)</f>
        <v/>
      </c>
      <c r="F49" s="7">
        <f>SUMIF(點餐明細資料!G5:G324, A49, 點餐明細資料!K5:K324)</f>
        <v/>
      </c>
    </row>
    <row r="50">
      <c r="A50" s="8" t="inlineStr">
        <is>
          <t>DRK-05</t>
        </is>
      </c>
      <c r="B50" s="9" t="inlineStr">
        <is>
          <t>經典金桔檸檬汁</t>
        </is>
      </c>
      <c r="C50" s="8" t="inlineStr">
        <is>
          <t>飲品</t>
        </is>
      </c>
      <c r="D50" s="11" t="n">
        <v>85</v>
      </c>
      <c r="E50" s="10">
        <f>COUNTIF(點餐明細資料!G5:G324, A50)</f>
        <v/>
      </c>
      <c r="F50" s="11">
        <f>SUMIF(點餐明細資料!G5:G324, A50, 點餐明細資料!K5:K324)</f>
        <v/>
      </c>
    </row>
    <row r="51">
      <c r="A51" s="4" t="inlineStr">
        <is>
          <t>DRK-06</t>
        </is>
      </c>
      <c r="B51" s="5" t="inlineStr">
        <is>
          <t>古早味紅茶豆漿</t>
        </is>
      </c>
      <c r="C51" s="4" t="inlineStr">
        <is>
          <t>飲品</t>
        </is>
      </c>
      <c r="D51" s="7" t="n">
        <v>80</v>
      </c>
      <c r="E51" s="6">
        <f>COUNTIF(點餐明細資料!G5:G324, A51)</f>
        <v/>
      </c>
      <c r="F51" s="7">
        <f>SUMIF(點餐明細資料!G5:G324, A51, 點餐明細資料!K5:K324)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2026-10-10T12:30:40Z</dcterms:created>
  <dcterms:modified xmlns:dcterms="http://purl.org/dc/terms/" xmlns:xsi="http://www.w3.org/2001/XMLSchema-instance" xsi:type="dcterms:W3CDTF">2026-10-10T12:30:40Z</dcterms:modified>
</cp:coreProperties>
</file>